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E14B3D-6600-43FE-A231-D6EB781F945A}" xr6:coauthVersionLast="47" xr6:coauthVersionMax="47" xr10:uidLastSave="{00000000-0000-0000-0000-000000000000}"/>
  <bookViews>
    <workbookView xWindow="-120" yWindow="-120" windowWidth="20730" windowHeight="11040" xr2:uid="{A7C89A67-13AB-46B4-98B9-C999DBABB45D}"/>
  </bookViews>
  <sheets>
    <sheet name="Pendahuluan" sheetId="13" r:id="rId1"/>
    <sheet name="1.Struktur Organisasi" sheetId="3" r:id="rId2"/>
    <sheet name="2.Daftar Jabatan" sheetId="10" r:id="rId3"/>
    <sheet name="3.Form Jobdesk" sheetId="7" r:id="rId4"/>
    <sheet name="4.Contoh Point Factor Table" sheetId="4" r:id="rId5"/>
    <sheet name="5.Tabel Point Factor" sheetId="2" r:id="rId6"/>
    <sheet name="6. Form Tabel Poin Faktor" sheetId="5" r:id="rId7"/>
    <sheet name="7.Komponen Upah" sheetId="1" r:id="rId8"/>
    <sheet name="8. Tabel Poin Interval" sheetId="11" r:id="rId9"/>
    <sheet name="9. Tabel Struktur Skala Upah" sheetId="12" r:id="rId10"/>
    <sheet name="Rumus &amp; Tabel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2" l="1"/>
  <c r="F4" i="12"/>
  <c r="F6" i="12"/>
  <c r="D6" i="12"/>
  <c r="AQ9" i="5"/>
  <c r="AQ8" i="5"/>
  <c r="AQ7" i="5"/>
  <c r="F5" i="12" l="1"/>
  <c r="D5" i="12"/>
</calcChain>
</file>

<file path=xl/sharedStrings.xml><?xml version="1.0" encoding="utf-8"?>
<sst xmlns="http://schemas.openxmlformats.org/spreadsheetml/2006/main" count="252" uniqueCount="196">
  <si>
    <t>Komponen Upah</t>
  </si>
  <si>
    <t>Upah Pokok</t>
  </si>
  <si>
    <t>Tunjangan Tetap</t>
  </si>
  <si>
    <t>Tunjangan Tdk Tetap</t>
  </si>
  <si>
    <t>THR</t>
  </si>
  <si>
    <t>Benefit Wajib</t>
  </si>
  <si>
    <t>Benefit Sukarela</t>
  </si>
  <si>
    <t>Fasilitas</t>
  </si>
  <si>
    <t>Intensif</t>
  </si>
  <si>
    <t>Bonus</t>
  </si>
  <si>
    <t>Anggaran Tahunan</t>
  </si>
  <si>
    <t>Lainnya</t>
  </si>
  <si>
    <t>No.</t>
  </si>
  <si>
    <t>Nomor</t>
  </si>
  <si>
    <t>Jabatan</t>
  </si>
  <si>
    <t>Manager</t>
  </si>
  <si>
    <t>Supervisor</t>
  </si>
  <si>
    <t>Staff</t>
  </si>
  <si>
    <t>Catatan:</t>
  </si>
  <si>
    <t>FAKTOR</t>
  </si>
  <si>
    <t>TINGKAT</t>
  </si>
  <si>
    <t>PENGETAHUAN</t>
  </si>
  <si>
    <t>DEFINISI</t>
  </si>
  <si>
    <t>PENDIDIKAN SD</t>
  </si>
  <si>
    <t>PENDIDIKAN SMP</t>
  </si>
  <si>
    <t>PENDIDIKAN SMA</t>
  </si>
  <si>
    <t>PENDIDIKAN D3</t>
  </si>
  <si>
    <t>POIN</t>
  </si>
  <si>
    <t>PENGALAMAN</t>
  </si>
  <si>
    <t>KURANG DARI 1 TAHUN</t>
  </si>
  <si>
    <t>1-3 TAHUN PENGALAMAN</t>
  </si>
  <si>
    <t>4-6 TAHUN PENGALAMAN</t>
  </si>
  <si>
    <t>7-10 TAHUN PENGALAMAN</t>
  </si>
  <si>
    <t>LEBIH DARI 10 TAHUN</t>
  </si>
  <si>
    <t>PENGETAHUAN DAN PENGALAMAN</t>
  </si>
  <si>
    <t>KONDISI KERJA &amp; BAHAYA</t>
  </si>
  <si>
    <t>KONDISI KERJA</t>
  </si>
  <si>
    <t>DEFINISI KERJA BAIK KETIDAKNYAMANAN &lt;10% WAKTU KERJA</t>
  </si>
  <si>
    <t>KONDISI CUKUP BAGUS, KETIDAKYAMANAN 10%-20% WAKTU KERJA</t>
  </si>
  <si>
    <t>BEBERAPA KONDISI TIDAK MENYENANGKAN 30%-40% WAKTU KERJA</t>
  </si>
  <si>
    <t>KONDISI KERJA TIDAK MENYENANGKAN &gt; 50% WAKTU KERJA</t>
  </si>
  <si>
    <t>KONDISI KERJA TIDAK MENYENANGKAN &gt;50 WAKTU KERJA</t>
  </si>
  <si>
    <t>BAHAYA</t>
  </si>
  <si>
    <t>PEKERJAAN TIDAK BERBAHAYA DI LINGKUNGAN KANTOR</t>
  </si>
  <si>
    <t>PEKERJAAN TIDAK MEMBAHAYAKAN KADANG DI LAPANGAN</t>
  </si>
  <si>
    <t>PEKERJAAN TIDAK MEMBAHAYAKAN LEBIH BANYAK DI LAPANGAN</t>
  </si>
  <si>
    <t>PEKERJAAN CUKUP MEMBAHAYAKAN BUKAN DI LAPANGAN</t>
  </si>
  <si>
    <t>PEKERJAAN CUKUP MEMBAHAYAKAN DI LAPANGAN</t>
  </si>
  <si>
    <t>PERATURAN DAN KEUANGAN</t>
  </si>
  <si>
    <t>PERATURAN</t>
  </si>
  <si>
    <t>KEUANGAN</t>
  </si>
  <si>
    <t>Disesuaikan Kesepakatan Perusahaan Dari Manajemen</t>
  </si>
  <si>
    <t>SEDIKIT TERKAIT DENGAN PEKERJAAN PERATURAN</t>
  </si>
  <si>
    <t>TIDAK TERKAIT PEKERJAAN PERATURAN</t>
  </si>
  <si>
    <t>SEPARUH PEKERJAAN TERKAIT DENGAN PERATURAN</t>
  </si>
  <si>
    <t>75% PEKERJAAN TERKAIT DENGAN PERATURAN</t>
  </si>
  <si>
    <t>TIDAK TERKAIT PEKERJAAN KEUANGAN</t>
  </si>
  <si>
    <t>SEDIKIT TERKAIT DENGAN PEKERJAAN KEUANGAN</t>
  </si>
  <si>
    <t>SELURUH PEKERJAAN TERKAIT PERATURAN</t>
  </si>
  <si>
    <t>SEPARUH PEKERJAAN TERKAIT DENGAN KEUANGAN</t>
  </si>
  <si>
    <t>75% PEKERJAAN TERKAIT DENGAN KEUANGAN</t>
  </si>
  <si>
    <t>SELURUH PEKERJAAN TERKAIT KEUANGAN</t>
  </si>
  <si>
    <t>CATATAN:</t>
  </si>
  <si>
    <t>CONTOH POINT FACTOR TABLE</t>
  </si>
  <si>
    <t>SKILLL</t>
  </si>
  <si>
    <t>EFFORT</t>
  </si>
  <si>
    <t>RESPONSIBILITY</t>
  </si>
  <si>
    <t>POINT</t>
  </si>
  <si>
    <t>TOTAL</t>
  </si>
  <si>
    <t>TURUNAN FAKTOR</t>
  </si>
  <si>
    <t>FISIK</t>
  </si>
  <si>
    <t>MENTAL</t>
  </si>
  <si>
    <t>POINT TURUNAN FAKTOR</t>
  </si>
  <si>
    <t>Data Contoh Point Factor Tabel Dari Narasumber Yang Dipercaya</t>
  </si>
  <si>
    <t>HASIL EVALUASI JABATAN KELOMPOK</t>
  </si>
  <si>
    <t>KRITERIA</t>
  </si>
  <si>
    <t>NAMA JABATAN</t>
  </si>
  <si>
    <t>SKILL</t>
  </si>
  <si>
    <t>USAHA</t>
  </si>
  <si>
    <t>TANGGUNG JAWAB</t>
  </si>
  <si>
    <t>Lingkungan Kerja</t>
  </si>
  <si>
    <t>TOTAL POINT</t>
  </si>
  <si>
    <t>URAIAN</t>
  </si>
  <si>
    <t>SMK</t>
  </si>
  <si>
    <t>&lt;1 th</t>
  </si>
  <si>
    <t>1 - 3 th</t>
  </si>
  <si>
    <t>Pekerjaan yang perlu kerja fisik ≤ 10% waktu kerja</t>
  </si>
  <si>
    <t>Pekerjaan yang perlu kerja fisik 10% - 20% waktu kerja</t>
  </si>
  <si>
    <t>Pekerjaan yang perlu kerja fisik 20% - 40% waktu kerja</t>
  </si>
  <si>
    <t>Pekerjaan yang perlu kerja fisik 40% - 60% waktu kerja</t>
  </si>
  <si>
    <t>Pekerjaan yang perlu kerja fisik ≥ 60% waktu kerja</t>
  </si>
  <si>
    <t>Pekerjaan yang perlu kerja mental ≤ 10% waktu kerja</t>
  </si>
  <si>
    <t>Pekerjaan yang perlu kerja mental 10% - 20% waktu kerja</t>
  </si>
  <si>
    <t>Pekerjaan yang perlu kerja mental 20% - 40% waktu kerja</t>
  </si>
  <si>
    <t>Pekerjaan yang perlu kerja mental 40% - 60% waktu kerja</t>
  </si>
  <si>
    <t>Pekerjaan yang perlu kerja mental ≥ 60% waktu kerja</t>
  </si>
  <si>
    <t>Kondisi kerja bagus, ketidaknyamanan ≤ 10% waktu kerja</t>
  </si>
  <si>
    <t>Kondisi cukup bagus, ketidaknyamanan 10% - 20% waktu kerja</t>
  </si>
  <si>
    <t>Beberapa kondisi tidak menyenangkan (suara, panas, dll)</t>
  </si>
  <si>
    <t>Kondisi kerja kurang menyenangkan, 30%-40% waktu kerja</t>
  </si>
  <si>
    <t>Kondisi kerja tidak menyenangkan, ≥ waktu kerja</t>
  </si>
  <si>
    <t>Pekerjaan tidak membahayakan dalam kantor</t>
  </si>
  <si>
    <t>Pekerjaan tidak membahayakan kadang ke lapangan</t>
  </si>
  <si>
    <t>Pekerjaan tidak membahayakan lebih banyak dilapangan</t>
  </si>
  <si>
    <t>Pekerjaan cukup membahayakan bukan dilapangan</t>
  </si>
  <si>
    <t>Pekerjaan cukup membahayakan di lapangan</t>
  </si>
  <si>
    <t>PENDIDIKAN S1/D4 ATAU LEBIH TINGGI</t>
  </si>
  <si>
    <t>SD</t>
  </si>
  <si>
    <t>SMP</t>
  </si>
  <si>
    <t>D3</t>
  </si>
  <si>
    <t>D4/S1/S2/S3</t>
  </si>
  <si>
    <t>4 - 6 th</t>
  </si>
  <si>
    <t>7-10 th</t>
  </si>
  <si>
    <t>10+ th</t>
  </si>
  <si>
    <t>WORK ENVIRONMENT</t>
  </si>
  <si>
    <t>PEKERJAAN YANG PERLU KERJA FISIK ≤ 10% WAKTU KERJA</t>
  </si>
  <si>
    <t>PEKERJAAN YANG PERLU KERJA FISIK 10%-20% WAKTU KERJA</t>
  </si>
  <si>
    <t xml:space="preserve">PEKERJAAN YANG PERLU KERJA FISIK 20%-40% WAKTU KERJA </t>
  </si>
  <si>
    <t xml:space="preserve">PEKERJAAN YANG PERLU KERJA FISIK 40%-60% WAKTU KERJA </t>
  </si>
  <si>
    <t xml:space="preserve">PEKERJAAN YANG PERLU KERJA FISIK ≥ 60% WAKTU KERJA </t>
  </si>
  <si>
    <t>PEKERJAAN YANG PERLU KERJA MENTAL ≤ 10% WAKTU KERJA</t>
  </si>
  <si>
    <t>PEKERJAAN YANG PERLU KERJA MENTAL 10%-20% WAKTU KERJA</t>
  </si>
  <si>
    <t>PEKERJAAN YANG PERLU KERJA MENTAL 40%-60% WAKTU KERJA</t>
  </si>
  <si>
    <t>PEKERJAAN YANG PERLU KERJA MENTAL 20%-40% WAKTU KERJA</t>
  </si>
  <si>
    <t>PEKERJAAN YANG PERLU KERJA MENTAL ≥ 60% WAKTU KERJA</t>
  </si>
  <si>
    <t>FIISK DAN MENTAL</t>
  </si>
  <si>
    <t>Kecil (sedikit terkait dengan pekerjaan peraturan)</t>
  </si>
  <si>
    <t>Sangat kecil (tidak terkait pekerjaan peraturan)</t>
  </si>
  <si>
    <t>Sedang (separuh pekerjaannya terkait dengan peraturan)</t>
  </si>
  <si>
    <t xml:space="preserve"> Besar  (75% pekerjaannya terkait dengan peraturan)</t>
  </si>
  <si>
    <t>Sangat kecil (tidak terkait pekerjaan keuangan)</t>
  </si>
  <si>
    <t>Kecil (sedikit terkait dengan pekerjaan keuangan)</t>
  </si>
  <si>
    <t>Sedang (separuh pekerjaannya terkait dengan keuangan)</t>
  </si>
  <si>
    <t xml:space="preserve"> Besar  (75% pekerjaannya terkait dengan keuangan)</t>
  </si>
  <si>
    <t xml:space="preserve"> Sangat Besar  (Seluruh pekerjaannya terkait keuangan)</t>
  </si>
  <si>
    <t xml:space="preserve"> Sangat Besar  (Seluruh pekerjaannya terkait peraturan)</t>
  </si>
  <si>
    <t>% MERIT INCREASE</t>
  </si>
  <si>
    <t>QUARTILE</t>
  </si>
  <si>
    <t>Q1:</t>
  </si>
  <si>
    <t>Q2:</t>
  </si>
  <si>
    <t>Q3:</t>
  </si>
  <si>
    <t>Q4:</t>
  </si>
  <si>
    <t>RUMUS BERDASARKAN KEPMEN 49 TAHUN 2004:</t>
  </si>
  <si>
    <t>JOB DESCRIPTION</t>
  </si>
  <si>
    <t>Tanggal</t>
  </si>
  <si>
    <t>Revisi ke</t>
  </si>
  <si>
    <t>: 4</t>
  </si>
  <si>
    <t>Halaman</t>
  </si>
  <si>
    <t>: 1 dari 1</t>
  </si>
  <si>
    <t>No</t>
  </si>
  <si>
    <t>: 01</t>
  </si>
  <si>
    <t>J A B A T A N</t>
  </si>
  <si>
    <t>BERTANGGUNG JAWAB KEPADA</t>
  </si>
  <si>
    <t>RUANG LINGKUP PEKERJAAN</t>
  </si>
  <si>
    <t xml:space="preserve">  building facilities sesuai dengan kebijakan yang ada</t>
  </si>
  <si>
    <t>HUBUNGAN KERJA</t>
  </si>
  <si>
    <t>: K e d a l a m</t>
  </si>
  <si>
    <t>:</t>
  </si>
  <si>
    <t>- Semua bagian.</t>
  </si>
  <si>
    <t xml:space="preserve">  K e l u a r</t>
  </si>
  <si>
    <t>BERTANGGUNG JAWAB</t>
  </si>
  <si>
    <t>W E W E N A N G</t>
  </si>
  <si>
    <t>PELIMPAHAN WEWENANG</t>
  </si>
  <si>
    <t xml:space="preserve"> Atasan Langsung :</t>
  </si>
  <si>
    <t xml:space="preserve"> Pemegang Jabatan :</t>
  </si>
  <si>
    <t xml:space="preserve"> Nama</t>
  </si>
  <si>
    <t xml:space="preserve">Tanggal </t>
  </si>
  <si>
    <t>: HUMAN CAPITAL MANAGER</t>
  </si>
  <si>
    <t>: HUMAN CAPITAL SUPERVISOR</t>
  </si>
  <si>
    <t xml:space="preserve">: </t>
  </si>
  <si>
    <t>: Mengawasi SDM perusahaan, baik berupa</t>
  </si>
  <si>
    <t xml:space="preserve">  pihak internal, pihak ekstenal serta</t>
  </si>
  <si>
    <t>pihak pemerintah, mitra bisnis</t>
  </si>
  <si>
    <t>Operation, Adniministrasi, Industrial Relation</t>
  </si>
  <si>
    <t>Mengawasi Kerja SDM Sesuai SOP &amp; Intruksi</t>
  </si>
  <si>
    <t xml:space="preserve">Jika Human Capital Supervisor Tidak </t>
  </si>
  <si>
    <t xml:space="preserve">Ada Maka Dilimpahkan Human Capital Manager </t>
  </si>
  <si>
    <t>NO</t>
  </si>
  <si>
    <t xml:space="preserve"> -Disesuaikan Dengan Kebutuhan Bisnis Dan Persetujuan Manajemen
-Data Didapat Dari Narasumber Yang Di Percaya</t>
  </si>
  <si>
    <t>Managerial</t>
  </si>
  <si>
    <t>401-500</t>
  </si>
  <si>
    <t>Staf</t>
  </si>
  <si>
    <t>(Spread)</t>
  </si>
  <si>
    <t>Wage Range</t>
  </si>
  <si>
    <t>Nama Jabatan</t>
  </si>
  <si>
    <t>Posisi</t>
  </si>
  <si>
    <t>Total Poin Interval</t>
  </si>
  <si>
    <t xml:space="preserve">HASIL TOTAL TABEL POINT FAKTOR </t>
  </si>
  <si>
    <t>501-900</t>
  </si>
  <si>
    <t>100-400</t>
  </si>
  <si>
    <t>Upah Terendah</t>
  </si>
  <si>
    <t>Upah Tengah</t>
  </si>
  <si>
    <t>Upah Tertinggi</t>
  </si>
  <si>
    <t>Disusun Oleh: Trisna Permana</t>
  </si>
  <si>
    <t>Kontak Email: trisnapermana332@gmail.com</t>
  </si>
  <si>
    <t>Referensi: Data Dari Narasumber Yang Dipercaya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</si>
</sst>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20"/>
      <name val="Century Gothic"/>
      <family val="2"/>
    </font>
    <font>
      <sz val="20"/>
      <color theme="1"/>
      <name val="Century Gothic"/>
      <family val="2"/>
    </font>
    <font>
      <sz val="15"/>
      <name val="Century Gothic"/>
      <family val="2"/>
    </font>
    <font>
      <sz val="15"/>
      <color theme="1"/>
      <name val="Century Gothic"/>
      <family val="2"/>
    </font>
    <font>
      <b/>
      <sz val="15"/>
      <color indexed="12"/>
      <name val="Century Gothic"/>
      <family val="2"/>
    </font>
    <font>
      <sz val="11"/>
      <color rgb="FF0D0D0D"/>
      <name val="Times New Roman"/>
      <family val="1"/>
    </font>
    <font>
      <b/>
      <shadow/>
      <sz val="16"/>
      <color rgb="FFFFFFFF"/>
      <name val="Calibri"/>
      <family val="2"/>
    </font>
    <font>
      <b/>
      <shadow/>
      <sz val="16"/>
      <color rgb="FF000000"/>
      <name val="Calibri"/>
      <family val="2"/>
    </font>
    <font>
      <sz val="10"/>
      <name val="Arial"/>
      <family val="2"/>
    </font>
    <font>
      <sz val="10"/>
      <name val="Franklin Gothic Book"/>
      <family val="2"/>
    </font>
    <font>
      <b/>
      <sz val="11"/>
      <name val="Franklin Gothic Book"/>
      <family val="2"/>
    </font>
    <font>
      <i/>
      <sz val="11"/>
      <name val="Franklin Gothic Book"/>
      <family val="2"/>
    </font>
    <font>
      <b/>
      <sz val="16"/>
      <color rgb="FFFF0000"/>
      <name val="Calibri"/>
      <family val="2"/>
      <scheme val="minor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indexed="12"/>
      <name val="Century Gothic"/>
      <family val="2"/>
    </font>
    <font>
      <sz val="12"/>
      <name val="Century Gothic"/>
      <family val="2"/>
    </font>
    <font>
      <b/>
      <sz val="14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4B4"/>
        <bgColor indexed="64"/>
      </patternFill>
    </fill>
    <fill>
      <patternFill patternType="solid">
        <fgColor rgb="FFCAEEA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CAEEA6"/>
      </right>
      <top style="thick">
        <color rgb="FFFFFFFF"/>
      </top>
      <bottom style="thick">
        <color rgb="FFFFFFFF"/>
      </bottom>
      <diagonal/>
    </border>
    <border>
      <left style="thick">
        <color rgb="FFCAEEA6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</borders>
  <cellStyleXfs count="6">
    <xf numFmtId="0" fontId="0" fillId="0" borderId="0"/>
    <xf numFmtId="0" fontId="1" fillId="0" borderId="0"/>
    <xf numFmtId="0" fontId="15" fillId="0" borderId="0"/>
    <xf numFmtId="0" fontId="15" fillId="0" borderId="0"/>
    <xf numFmtId="0" fontId="25" fillId="0" borderId="0"/>
    <xf numFmtId="164" fontId="15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0" xfId="1" applyFont="1"/>
    <xf numFmtId="0" fontId="4" fillId="2" borderId="1" xfId="1" applyFont="1" applyFill="1" applyBorder="1"/>
    <xf numFmtId="0" fontId="4" fillId="0" borderId="0" xfId="1" applyFont="1"/>
    <xf numFmtId="0" fontId="9" fillId="0" borderId="0" xfId="1" applyFont="1"/>
    <xf numFmtId="0" fontId="12" fillId="0" borderId="0" xfId="1" applyFont="1" applyAlignment="1">
      <alignment vertical="center"/>
    </xf>
    <xf numFmtId="0" fontId="13" fillId="0" borderId="4" xfId="1" applyFont="1" applyBorder="1" applyAlignment="1">
      <alignment horizontal="center" vertical="center"/>
    </xf>
    <xf numFmtId="0" fontId="14" fillId="0" borderId="7" xfId="2" applyFont="1" applyBorder="1" applyAlignment="1">
      <alignment vertical="top" wrapText="1"/>
    </xf>
    <xf numFmtId="0" fontId="14" fillId="0" borderId="0" xfId="1" applyFont="1"/>
    <xf numFmtId="0" fontId="16" fillId="0" borderId="4" xfId="1" applyFont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9" fillId="9" borderId="1" xfId="1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20" fillId="9" borderId="1" xfId="1" applyFont="1" applyFill="1" applyBorder="1" applyAlignment="1">
      <alignment horizontal="center" vertical="center" wrapText="1"/>
    </xf>
    <xf numFmtId="0" fontId="21" fillId="9" borderId="5" xfId="1" applyFont="1" applyFill="1" applyBorder="1" applyAlignment="1">
      <alignment horizontal="center" vertical="center"/>
    </xf>
    <xf numFmtId="0" fontId="20" fillId="9" borderId="0" xfId="1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" fillId="9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/>
    <xf numFmtId="0" fontId="22" fillId="0" borderId="0" xfId="0" applyFont="1"/>
    <xf numFmtId="0" fontId="22" fillId="0" borderId="1" xfId="0" applyFont="1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10" borderId="4" xfId="1" applyFont="1" applyFill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16" fillId="10" borderId="4" xfId="1" applyFont="1" applyFill="1" applyBorder="1" applyAlignment="1">
      <alignment horizontal="center" vertical="center"/>
    </xf>
    <xf numFmtId="0" fontId="16" fillId="10" borderId="1" xfId="1" applyFont="1" applyFill="1" applyBorder="1" applyAlignment="1">
      <alignment horizontal="center" vertical="center"/>
    </xf>
    <xf numFmtId="0" fontId="14" fillId="11" borderId="1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/>
    </xf>
    <xf numFmtId="0" fontId="14" fillId="12" borderId="5" xfId="2" applyFont="1" applyFill="1" applyBorder="1" applyAlignment="1">
      <alignment horizontal="center" vertical="center" wrapText="1"/>
    </xf>
    <xf numFmtId="0" fontId="14" fillId="12" borderId="1" xfId="2" applyFont="1" applyFill="1" applyBorder="1" applyAlignment="1">
      <alignment horizontal="center" vertical="center" wrapText="1"/>
    </xf>
    <xf numFmtId="0" fontId="16" fillId="12" borderId="5" xfId="1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0" fillId="0" borderId="0" xfId="1" applyFont="1"/>
    <xf numFmtId="0" fontId="15" fillId="0" borderId="0" xfId="3"/>
    <xf numFmtId="0" fontId="23" fillId="13" borderId="13" xfId="3" applyFont="1" applyFill="1" applyBorder="1" applyAlignment="1">
      <alignment horizontal="center" vertical="center" wrapText="1" readingOrder="1"/>
    </xf>
    <xf numFmtId="0" fontId="23" fillId="13" borderId="13" xfId="3" applyFont="1" applyFill="1" applyBorder="1" applyAlignment="1">
      <alignment horizontal="center" wrapText="1" readingOrder="1"/>
    </xf>
    <xf numFmtId="10" fontId="24" fillId="14" borderId="14" xfId="3" applyNumberFormat="1" applyFont="1" applyFill="1" applyBorder="1" applyAlignment="1">
      <alignment horizontal="right" wrapText="1" readingOrder="1"/>
    </xf>
    <xf numFmtId="10" fontId="24" fillId="14" borderId="15" xfId="3" applyNumberFormat="1" applyFont="1" applyFill="1" applyBorder="1" applyAlignment="1">
      <alignment horizontal="left" wrapText="1" readingOrder="1"/>
    </xf>
    <xf numFmtId="9" fontId="24" fillId="14" borderId="13" xfId="3" applyNumberFormat="1" applyFont="1" applyFill="1" applyBorder="1" applyAlignment="1">
      <alignment horizontal="center" wrapText="1" readingOrder="1"/>
    </xf>
    <xf numFmtId="0" fontId="7" fillId="0" borderId="0" xfId="3" applyFont="1"/>
    <xf numFmtId="0" fontId="26" fillId="0" borderId="16" xfId="4" applyFont="1" applyBorder="1" applyAlignment="1">
      <alignment horizontal="left" vertical="center"/>
    </xf>
    <xf numFmtId="0" fontId="26" fillId="0" borderId="17" xfId="4" applyFont="1" applyBorder="1" applyAlignment="1">
      <alignment horizontal="left" vertical="center"/>
    </xf>
    <xf numFmtId="0" fontId="26" fillId="0" borderId="18" xfId="4" applyFont="1" applyBorder="1" applyAlignment="1">
      <alignment horizontal="left" vertical="center"/>
    </xf>
    <xf numFmtId="0" fontId="26" fillId="0" borderId="0" xfId="4" applyFont="1" applyAlignment="1">
      <alignment horizontal="left" vertical="center"/>
    </xf>
    <xf numFmtId="0" fontId="26" fillId="0" borderId="19" xfId="4" applyFont="1" applyBorder="1" applyAlignment="1">
      <alignment horizontal="left" vertical="center"/>
    </xf>
    <xf numFmtId="0" fontId="26" fillId="0" borderId="20" xfId="4" applyFont="1" applyBorder="1" applyAlignment="1">
      <alignment horizontal="left" vertical="center"/>
    </xf>
    <xf numFmtId="0" fontId="26" fillId="0" borderId="0" xfId="4" applyFont="1"/>
    <xf numFmtId="0" fontId="26" fillId="0" borderId="21" xfId="4" applyFont="1" applyBorder="1" applyAlignment="1">
      <alignment horizontal="left" vertical="center"/>
    </xf>
    <xf numFmtId="0" fontId="26" fillId="0" borderId="22" xfId="4" applyFont="1" applyBorder="1" applyAlignment="1">
      <alignment horizontal="left" vertical="center"/>
    </xf>
    <xf numFmtId="0" fontId="26" fillId="0" borderId="23" xfId="4" applyFont="1" applyBorder="1" applyAlignment="1">
      <alignment horizontal="left" vertical="center"/>
    </xf>
    <xf numFmtId="0" fontId="25" fillId="0" borderId="0" xfId="4"/>
    <xf numFmtId="0" fontId="26" fillId="0" borderId="24" xfId="4" applyFont="1" applyBorder="1" applyAlignment="1">
      <alignment horizontal="left" vertical="center"/>
    </xf>
    <xf numFmtId="0" fontId="26" fillId="0" borderId="25" xfId="4" applyFont="1" applyBorder="1" applyAlignment="1">
      <alignment horizontal="left" vertical="center"/>
    </xf>
    <xf numFmtId="0" fontId="26" fillId="0" borderId="26" xfId="4" applyFont="1" applyBorder="1" applyAlignment="1">
      <alignment horizontal="left" vertical="center"/>
    </xf>
    <xf numFmtId="0" fontId="26" fillId="0" borderId="27" xfId="4" applyFont="1" applyBorder="1" applyAlignment="1">
      <alignment horizontal="left" vertical="center"/>
    </xf>
    <xf numFmtId="0" fontId="26" fillId="0" borderId="0" xfId="4" applyFont="1" applyAlignment="1">
      <alignment horizontal="center" vertical="center"/>
    </xf>
    <xf numFmtId="0" fontId="28" fillId="0" borderId="19" xfId="4" applyFont="1" applyBorder="1" applyAlignment="1">
      <alignment horizontal="left" vertical="center"/>
    </xf>
    <xf numFmtId="0" fontId="28" fillId="0" borderId="0" xfId="4" applyFont="1" applyAlignment="1">
      <alignment horizontal="left" vertical="center"/>
    </xf>
    <xf numFmtId="0" fontId="26" fillId="0" borderId="28" xfId="4" applyFont="1" applyBorder="1" applyAlignment="1">
      <alignment horizontal="left" vertical="center"/>
    </xf>
    <xf numFmtId="0" fontId="26" fillId="0" borderId="29" xfId="4" applyFont="1" applyBorder="1" applyAlignment="1">
      <alignment horizontal="left" vertical="center"/>
    </xf>
    <xf numFmtId="0" fontId="26" fillId="0" borderId="29" xfId="4" applyFont="1" applyBorder="1"/>
    <xf numFmtId="0" fontId="26" fillId="0" borderId="30" xfId="4" applyFont="1" applyBorder="1" applyAlignment="1">
      <alignment horizontal="left" vertical="center"/>
    </xf>
    <xf numFmtId="0" fontId="26" fillId="0" borderId="31" xfId="4" applyFont="1" applyBorder="1" applyAlignment="1">
      <alignment horizontal="left" vertical="center"/>
    </xf>
    <xf numFmtId="0" fontId="26" fillId="0" borderId="32" xfId="4" applyFont="1" applyBorder="1" applyAlignment="1">
      <alignment horizontal="left" vertical="center"/>
    </xf>
    <xf numFmtId="165" fontId="15" fillId="0" borderId="0" xfId="5" applyNumberFormat="1" applyFont="1" applyAlignment="1">
      <alignment horizontal="center"/>
    </xf>
    <xf numFmtId="165" fontId="29" fillId="0" borderId="0" xfId="5" applyNumberFormat="1" applyFont="1" applyAlignment="1">
      <alignment horizontal="left"/>
    </xf>
    <xf numFmtId="165" fontId="30" fillId="8" borderId="2" xfId="5" applyNumberFormat="1" applyFont="1" applyFill="1" applyBorder="1" applyAlignment="1">
      <alignment horizontal="center" vertical="center" wrapText="1"/>
    </xf>
    <xf numFmtId="0" fontId="30" fillId="8" borderId="2" xfId="3" applyFont="1" applyFill="1" applyBorder="1" applyAlignment="1">
      <alignment horizontal="center" vertical="center" wrapText="1"/>
    </xf>
    <xf numFmtId="0" fontId="31" fillId="0" borderId="0" xfId="3" applyFont="1"/>
    <xf numFmtId="165" fontId="30" fillId="8" borderId="4" xfId="5" applyNumberFormat="1" applyFont="1" applyFill="1" applyBorder="1" applyAlignment="1">
      <alignment horizontal="center" vertical="center" wrapText="1"/>
    </xf>
    <xf numFmtId="0" fontId="30" fillId="8" borderId="4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left" vertical="center"/>
    </xf>
    <xf numFmtId="0" fontId="32" fillId="0" borderId="1" xfId="3" applyFont="1" applyBorder="1" applyAlignment="1">
      <alignment horizontal="left" vertical="center"/>
    </xf>
    <xf numFmtId="165" fontId="31" fillId="0" borderId="0" xfId="3" applyNumberFormat="1" applyFont="1" applyAlignment="1">
      <alignment horizontal="left" vertical="center"/>
    </xf>
    <xf numFmtId="0" fontId="31" fillId="0" borderId="0" xfId="3" applyFont="1" applyAlignment="1">
      <alignment horizontal="left" vertical="center"/>
    </xf>
    <xf numFmtId="0" fontId="32" fillId="0" borderId="0" xfId="1" applyFont="1"/>
    <xf numFmtId="9" fontId="33" fillId="9" borderId="1" xfId="1" applyNumberFormat="1" applyFont="1" applyFill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/>
    </xf>
    <xf numFmtId="0" fontId="32" fillId="0" borderId="1" xfId="3" applyFont="1" applyBorder="1" applyAlignment="1">
      <alignment horizontal="center" vertical="center"/>
    </xf>
    <xf numFmtId="0" fontId="31" fillId="0" borderId="0" xfId="1" applyFont="1"/>
    <xf numFmtId="0" fontId="32" fillId="0" borderId="2" xfId="3" applyFont="1" applyBorder="1" applyAlignment="1">
      <alignment vertical="center"/>
    </xf>
    <xf numFmtId="0" fontId="32" fillId="0" borderId="4" xfId="3" applyFont="1" applyBorder="1" applyAlignment="1">
      <alignment vertical="center"/>
    </xf>
    <xf numFmtId="165" fontId="32" fillId="0" borderId="1" xfId="5" applyNumberFormat="1" applyFont="1" applyBorder="1"/>
    <xf numFmtId="164" fontId="32" fillId="0" borderId="0" xfId="5" applyFont="1"/>
    <xf numFmtId="0" fontId="34" fillId="0" borderId="0" xfId="1" applyFont="1" applyAlignment="1">
      <alignment horizontal="center" vertical="center"/>
    </xf>
    <xf numFmtId="0" fontId="32" fillId="0" borderId="0" xfId="3" applyFont="1" applyAlignment="1">
      <alignment vertical="center"/>
    </xf>
    <xf numFmtId="9" fontId="33" fillId="9" borderId="0" xfId="1" applyNumberFormat="1" applyFont="1" applyFill="1" applyAlignment="1">
      <alignment horizontal="center" vertical="center"/>
    </xf>
    <xf numFmtId="165" fontId="32" fillId="0" borderId="0" xfId="5" applyNumberFormat="1" applyFont="1" applyBorder="1"/>
    <xf numFmtId="0" fontId="27" fillId="0" borderId="20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8" xfId="1" applyFont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/>
    </xf>
    <xf numFmtId="0" fontId="8" fillId="6" borderId="6" xfId="1" applyFont="1" applyFill="1" applyBorder="1" applyAlignment="1">
      <alignment horizontal="center" vertical="center"/>
    </xf>
    <xf numFmtId="0" fontId="8" fillId="6" borderId="7" xfId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 wrapText="1"/>
    </xf>
    <xf numFmtId="0" fontId="10" fillId="10" borderId="5" xfId="1" applyFont="1" applyFill="1" applyBorder="1" applyAlignment="1">
      <alignment horizontal="center" vertical="center"/>
    </xf>
    <xf numFmtId="0" fontId="10" fillId="10" borderId="6" xfId="1" applyFont="1" applyFill="1" applyBorder="1" applyAlignment="1">
      <alignment horizontal="center" vertical="center"/>
    </xf>
    <xf numFmtId="0" fontId="10" fillId="10" borderId="7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11" borderId="5" xfId="1" applyFont="1" applyFill="1" applyBorder="1" applyAlignment="1">
      <alignment horizontal="center" vertical="center"/>
    </xf>
    <xf numFmtId="0" fontId="11" fillId="11" borderId="6" xfId="1" applyFont="1" applyFill="1" applyBorder="1" applyAlignment="1">
      <alignment horizontal="center" vertical="center"/>
    </xf>
    <xf numFmtId="0" fontId="11" fillId="11" borderId="7" xfId="1" applyFont="1" applyFill="1" applyBorder="1" applyAlignment="1">
      <alignment horizontal="center" vertical="center"/>
    </xf>
    <xf numFmtId="0" fontId="11" fillId="12" borderId="5" xfId="1" applyFont="1" applyFill="1" applyBorder="1" applyAlignment="1">
      <alignment horizontal="center" vertical="center"/>
    </xf>
    <xf numFmtId="0" fontId="11" fillId="12" borderId="6" xfId="1" applyFont="1" applyFill="1" applyBorder="1" applyAlignment="1">
      <alignment horizontal="center" vertical="center"/>
    </xf>
    <xf numFmtId="0" fontId="11" fillId="12" borderId="7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5" fillId="0" borderId="8" xfId="1" applyFont="1" applyBorder="1" applyAlignment="1">
      <alignment horizontal="center" vertical="center" wrapText="1"/>
    </xf>
    <xf numFmtId="0" fontId="32" fillId="0" borderId="2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0" fontId="32" fillId="0" borderId="2" xfId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23" fillId="13" borderId="10" xfId="3" applyFont="1" applyFill="1" applyBorder="1" applyAlignment="1">
      <alignment horizontal="center" vertical="center" wrapText="1" readingOrder="1"/>
    </xf>
    <xf numFmtId="0" fontId="23" fillId="13" borderId="11" xfId="3" applyFont="1" applyFill="1" applyBorder="1" applyAlignment="1">
      <alignment horizontal="center" vertical="center" wrapText="1" readingOrder="1"/>
    </xf>
    <xf numFmtId="0" fontId="23" fillId="13" borderId="12" xfId="3" applyFont="1" applyFill="1" applyBorder="1" applyAlignment="1">
      <alignment horizontal="center" vertical="center" wrapText="1" readingOrder="1"/>
    </xf>
  </cellXfs>
  <cellStyles count="6">
    <cellStyle name="Comma 2 3" xfId="5" xr:uid="{6B1E7FE1-7241-41F0-AED8-96478A4E5655}"/>
    <cellStyle name="Normal" xfId="0" builtinId="0"/>
    <cellStyle name="Normal 2" xfId="2" xr:uid="{DD521244-3E5C-4F2E-B8E6-F7D02751A048}"/>
    <cellStyle name="Normal 2 2" xfId="3" xr:uid="{AAF2DC94-BC2F-4A7A-A8DB-40B4644C6203}"/>
    <cellStyle name="Normal 3" xfId="1" xr:uid="{91FC7B39-329E-4450-A36F-D77D4F517B07}"/>
    <cellStyle name="Normal 4" xfId="4" xr:uid="{BC0AF29A-6F8E-4F31-A52C-1FC432809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B6E1B39-C9DC-4E9E-856D-D05ED89982E4}" type="doc">
      <dgm:prSet loTypeId="urn:microsoft.com/office/officeart/2009/layout/CirclePictureHierarchy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d-ID"/>
        </a:p>
      </dgm:t>
    </dgm:pt>
    <dgm:pt modelId="{C1BD1B3E-FA49-4FA7-ACA1-1C3D7C04B691}">
      <dgm:prSet phldrT="[Teks]"/>
      <dgm:spPr/>
      <dgm:t>
        <a:bodyPr/>
        <a:lstStyle/>
        <a:p>
          <a:r>
            <a:rPr lang="id-ID"/>
            <a:t>Manager</a:t>
          </a:r>
        </a:p>
      </dgm:t>
    </dgm:pt>
    <dgm:pt modelId="{261871E6-130B-40BF-AB29-88CC15DAC18A}" type="parTrans" cxnId="{9A839E96-1625-412F-A120-738861B4D86F}">
      <dgm:prSet/>
      <dgm:spPr/>
      <dgm:t>
        <a:bodyPr/>
        <a:lstStyle/>
        <a:p>
          <a:endParaRPr lang="id-ID"/>
        </a:p>
      </dgm:t>
    </dgm:pt>
    <dgm:pt modelId="{EC6B29BB-DC9D-49C5-9BD2-BD41373962DC}" type="sibTrans" cxnId="{9A839E96-1625-412F-A120-738861B4D86F}">
      <dgm:prSet/>
      <dgm:spPr/>
      <dgm:t>
        <a:bodyPr/>
        <a:lstStyle/>
        <a:p>
          <a:endParaRPr lang="id-ID"/>
        </a:p>
      </dgm:t>
    </dgm:pt>
    <dgm:pt modelId="{D78F4640-0D8D-4CD0-853E-D1BA6EA32722}" type="asst">
      <dgm:prSet phldrT="[Teks]"/>
      <dgm:spPr/>
      <dgm:t>
        <a:bodyPr/>
        <a:lstStyle/>
        <a:p>
          <a:r>
            <a:rPr lang="id-ID"/>
            <a:t>Supervisor</a:t>
          </a:r>
        </a:p>
      </dgm:t>
    </dgm:pt>
    <dgm:pt modelId="{71B34483-79F1-4EE5-B434-30A917B3B07E}" type="parTrans" cxnId="{488F1614-2A99-4990-83DC-A810833699C8}">
      <dgm:prSet/>
      <dgm:spPr/>
      <dgm:t>
        <a:bodyPr/>
        <a:lstStyle/>
        <a:p>
          <a:endParaRPr lang="id-ID"/>
        </a:p>
      </dgm:t>
    </dgm:pt>
    <dgm:pt modelId="{9EF98101-C591-4FE6-9874-B901475F3378}" type="sibTrans" cxnId="{488F1614-2A99-4990-83DC-A810833699C8}">
      <dgm:prSet/>
      <dgm:spPr/>
      <dgm:t>
        <a:bodyPr/>
        <a:lstStyle/>
        <a:p>
          <a:endParaRPr lang="id-ID"/>
        </a:p>
      </dgm:t>
    </dgm:pt>
    <dgm:pt modelId="{75E63D63-C096-4122-B265-5E0B0A455BB4}">
      <dgm:prSet phldrT="[Teks]"/>
      <dgm:spPr/>
      <dgm:t>
        <a:bodyPr/>
        <a:lstStyle/>
        <a:p>
          <a:r>
            <a:rPr lang="id-ID"/>
            <a:t>Staff</a:t>
          </a:r>
        </a:p>
      </dgm:t>
    </dgm:pt>
    <dgm:pt modelId="{819CDF32-1FD5-4AC6-8AFF-A77150ACECE3}" type="parTrans" cxnId="{27BA2974-8FF0-4397-9F52-6C935C86DDFE}">
      <dgm:prSet/>
      <dgm:spPr/>
      <dgm:t>
        <a:bodyPr/>
        <a:lstStyle/>
        <a:p>
          <a:endParaRPr lang="id-ID"/>
        </a:p>
      </dgm:t>
    </dgm:pt>
    <dgm:pt modelId="{FD13F16D-BA59-45B4-B99A-FA07803B0EB2}" type="sibTrans" cxnId="{27BA2974-8FF0-4397-9F52-6C935C86DDFE}">
      <dgm:prSet/>
      <dgm:spPr/>
      <dgm:t>
        <a:bodyPr/>
        <a:lstStyle/>
        <a:p>
          <a:endParaRPr lang="id-ID"/>
        </a:p>
      </dgm:t>
    </dgm:pt>
    <dgm:pt modelId="{A8F4BF7E-0BCC-4D06-9DF4-4F033689F912}">
      <dgm:prSet phldrT="[Teks]"/>
      <dgm:spPr/>
      <dgm:t>
        <a:bodyPr/>
        <a:lstStyle/>
        <a:p>
          <a:r>
            <a:rPr lang="id-ID"/>
            <a:t>Staff</a:t>
          </a:r>
        </a:p>
      </dgm:t>
    </dgm:pt>
    <dgm:pt modelId="{C0F2455F-6D91-464E-8451-396B59DD9926}" type="parTrans" cxnId="{D959090F-1772-49A4-A1B4-199E5DF6C4C4}">
      <dgm:prSet/>
      <dgm:spPr/>
      <dgm:t>
        <a:bodyPr/>
        <a:lstStyle/>
        <a:p>
          <a:endParaRPr lang="id-ID"/>
        </a:p>
      </dgm:t>
    </dgm:pt>
    <dgm:pt modelId="{4B0DEFEA-CC58-4070-A573-EC283C3F552E}" type="sibTrans" cxnId="{D959090F-1772-49A4-A1B4-199E5DF6C4C4}">
      <dgm:prSet/>
      <dgm:spPr/>
      <dgm:t>
        <a:bodyPr/>
        <a:lstStyle/>
        <a:p>
          <a:endParaRPr lang="id-ID"/>
        </a:p>
      </dgm:t>
    </dgm:pt>
    <dgm:pt modelId="{6F336C6F-945F-47EB-B7DA-D16E9B96883C}" type="asst">
      <dgm:prSet phldrT="[Teks]"/>
      <dgm:spPr/>
      <dgm:t>
        <a:bodyPr/>
        <a:lstStyle/>
        <a:p>
          <a:r>
            <a:rPr lang="id-ID"/>
            <a:t>Supervisor</a:t>
          </a:r>
        </a:p>
      </dgm:t>
    </dgm:pt>
    <dgm:pt modelId="{6E28FCCB-8C8F-4B4E-BD60-57EA859B7E85}" type="parTrans" cxnId="{E5B9B49C-1F54-45C4-8A89-9C83611B9157}">
      <dgm:prSet/>
      <dgm:spPr/>
      <dgm:t>
        <a:bodyPr/>
        <a:lstStyle/>
        <a:p>
          <a:endParaRPr lang="id-ID"/>
        </a:p>
      </dgm:t>
    </dgm:pt>
    <dgm:pt modelId="{2045FA9E-9E54-455A-A31B-7DF498A10BE8}" type="sibTrans" cxnId="{E5B9B49C-1F54-45C4-8A89-9C83611B9157}">
      <dgm:prSet/>
      <dgm:spPr/>
      <dgm:t>
        <a:bodyPr/>
        <a:lstStyle/>
        <a:p>
          <a:endParaRPr lang="id-ID"/>
        </a:p>
      </dgm:t>
    </dgm:pt>
    <dgm:pt modelId="{946E0FC4-3136-4971-B287-FEDB9B99B82A}" type="asst">
      <dgm:prSet phldrT="[Teks]"/>
      <dgm:spPr/>
      <dgm:t>
        <a:bodyPr/>
        <a:lstStyle/>
        <a:p>
          <a:r>
            <a:rPr lang="id-ID"/>
            <a:t>Staff</a:t>
          </a:r>
        </a:p>
      </dgm:t>
    </dgm:pt>
    <dgm:pt modelId="{35A24D74-F5D2-413F-93D3-4A238BEB1C34}" type="parTrans" cxnId="{B8847FAC-3306-4A5F-8A44-ED30F2A399AB}">
      <dgm:prSet/>
      <dgm:spPr/>
      <dgm:t>
        <a:bodyPr/>
        <a:lstStyle/>
        <a:p>
          <a:endParaRPr lang="id-ID"/>
        </a:p>
      </dgm:t>
    </dgm:pt>
    <dgm:pt modelId="{1D51D35C-367A-408A-AAB0-61C7ED1DF2C7}" type="sibTrans" cxnId="{B8847FAC-3306-4A5F-8A44-ED30F2A399AB}">
      <dgm:prSet/>
      <dgm:spPr/>
      <dgm:t>
        <a:bodyPr/>
        <a:lstStyle/>
        <a:p>
          <a:endParaRPr lang="id-ID"/>
        </a:p>
      </dgm:t>
    </dgm:pt>
    <dgm:pt modelId="{DB4E90D1-DBDA-4B8B-8DFE-4EBE29D41A84}" type="asst">
      <dgm:prSet phldrT="[Teks]"/>
      <dgm:spPr/>
      <dgm:t>
        <a:bodyPr/>
        <a:lstStyle/>
        <a:p>
          <a:r>
            <a:rPr lang="id-ID"/>
            <a:t>Staff</a:t>
          </a:r>
        </a:p>
      </dgm:t>
    </dgm:pt>
    <dgm:pt modelId="{188AB27E-61C8-4D3E-957C-41D6C11D398C}" type="parTrans" cxnId="{2D8D63E5-3598-4946-99BC-2BB1B474108A}">
      <dgm:prSet/>
      <dgm:spPr/>
      <dgm:t>
        <a:bodyPr/>
        <a:lstStyle/>
        <a:p>
          <a:endParaRPr lang="id-ID"/>
        </a:p>
      </dgm:t>
    </dgm:pt>
    <dgm:pt modelId="{DE5FEA41-1D49-4F3C-B9FD-5E556AF29387}" type="sibTrans" cxnId="{2D8D63E5-3598-4946-99BC-2BB1B474108A}">
      <dgm:prSet/>
      <dgm:spPr/>
      <dgm:t>
        <a:bodyPr/>
        <a:lstStyle/>
        <a:p>
          <a:endParaRPr lang="id-ID"/>
        </a:p>
      </dgm:t>
    </dgm:pt>
    <dgm:pt modelId="{BC4EC41B-0753-4682-83C6-FD88E4483144}" type="pres">
      <dgm:prSet presAssocID="{5B6E1B39-C9DC-4E9E-856D-D05ED89982E4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9D27C5F6-9806-4C86-84D3-2307C0E43D47}" type="pres">
      <dgm:prSet presAssocID="{C1BD1B3E-FA49-4FA7-ACA1-1C3D7C04B691}" presName="hierRoot1" presStyleCnt="0"/>
      <dgm:spPr/>
    </dgm:pt>
    <dgm:pt modelId="{CCEAC4A1-E349-4A93-B3B8-528BE33D7A1B}" type="pres">
      <dgm:prSet presAssocID="{C1BD1B3E-FA49-4FA7-ACA1-1C3D7C04B691}" presName="composite" presStyleCnt="0"/>
      <dgm:spPr/>
    </dgm:pt>
    <dgm:pt modelId="{103C34FF-57DE-489C-AAA8-3479EACD860A}" type="pres">
      <dgm:prSet presAssocID="{C1BD1B3E-FA49-4FA7-ACA1-1C3D7C04B691}" presName="image" presStyleLbl="node0" presStyleIdx="0" presStyleCnt="1"/>
      <dgm:spPr/>
    </dgm:pt>
    <dgm:pt modelId="{87E1B238-E644-4A00-955D-A22EDC04B62F}" type="pres">
      <dgm:prSet presAssocID="{C1BD1B3E-FA49-4FA7-ACA1-1C3D7C04B691}" presName="text" presStyleLbl="revTx" presStyleIdx="0" presStyleCnt="7">
        <dgm:presLayoutVars>
          <dgm:chPref val="3"/>
        </dgm:presLayoutVars>
      </dgm:prSet>
      <dgm:spPr/>
    </dgm:pt>
    <dgm:pt modelId="{AE48570D-511A-4459-8841-AD6E726821E9}" type="pres">
      <dgm:prSet presAssocID="{C1BD1B3E-FA49-4FA7-ACA1-1C3D7C04B691}" presName="hierChild2" presStyleCnt="0"/>
      <dgm:spPr/>
    </dgm:pt>
    <dgm:pt modelId="{0050FBC2-81AB-46AC-A911-7CCA3B82E5AD}" type="pres">
      <dgm:prSet presAssocID="{71B34483-79F1-4EE5-B434-30A917B3B07E}" presName="Name10" presStyleLbl="parChTrans1D2" presStyleIdx="0" presStyleCnt="2"/>
      <dgm:spPr/>
    </dgm:pt>
    <dgm:pt modelId="{66BD0D34-A374-4497-9D16-ABC97D9958EC}" type="pres">
      <dgm:prSet presAssocID="{D78F4640-0D8D-4CD0-853E-D1BA6EA32722}" presName="hierRoot2" presStyleCnt="0"/>
      <dgm:spPr/>
    </dgm:pt>
    <dgm:pt modelId="{5ACF49C9-751D-4BBA-AA11-EBA9E7A8BD52}" type="pres">
      <dgm:prSet presAssocID="{D78F4640-0D8D-4CD0-853E-D1BA6EA32722}" presName="composite2" presStyleCnt="0"/>
      <dgm:spPr/>
    </dgm:pt>
    <dgm:pt modelId="{07E117DA-6BFE-4FCF-9E1B-5CFCBD5C21A0}" type="pres">
      <dgm:prSet presAssocID="{D78F4640-0D8D-4CD0-853E-D1BA6EA32722}" presName="image2" presStyleLbl="asst1" presStyleIdx="0" presStyleCnt="4"/>
      <dgm:spPr/>
    </dgm:pt>
    <dgm:pt modelId="{941959C9-136F-44AC-89D3-2BA51249DBC5}" type="pres">
      <dgm:prSet presAssocID="{D78F4640-0D8D-4CD0-853E-D1BA6EA32722}" presName="text2" presStyleLbl="revTx" presStyleIdx="1" presStyleCnt="7">
        <dgm:presLayoutVars>
          <dgm:chPref val="3"/>
        </dgm:presLayoutVars>
      </dgm:prSet>
      <dgm:spPr/>
    </dgm:pt>
    <dgm:pt modelId="{8AB8EB37-8BDB-41EB-AF55-B41883DF9ADA}" type="pres">
      <dgm:prSet presAssocID="{D78F4640-0D8D-4CD0-853E-D1BA6EA32722}" presName="hierChild3" presStyleCnt="0"/>
      <dgm:spPr/>
    </dgm:pt>
    <dgm:pt modelId="{87E7438A-2A4A-4A18-AC13-1899B9D3DECB}" type="pres">
      <dgm:prSet presAssocID="{35A24D74-F5D2-413F-93D3-4A238BEB1C34}" presName="Name17" presStyleLbl="parChTrans1D3" presStyleIdx="0" presStyleCnt="4"/>
      <dgm:spPr/>
    </dgm:pt>
    <dgm:pt modelId="{3F21A2D3-BCFC-4B15-BB1C-0071B226F251}" type="pres">
      <dgm:prSet presAssocID="{946E0FC4-3136-4971-B287-FEDB9B99B82A}" presName="hierRoot3" presStyleCnt="0"/>
      <dgm:spPr/>
    </dgm:pt>
    <dgm:pt modelId="{7739F517-DCB2-49A2-93E8-6C31B5EA5864}" type="pres">
      <dgm:prSet presAssocID="{946E0FC4-3136-4971-B287-FEDB9B99B82A}" presName="composite3" presStyleCnt="0"/>
      <dgm:spPr/>
    </dgm:pt>
    <dgm:pt modelId="{885749BC-7A47-48F8-B50A-C463719326D4}" type="pres">
      <dgm:prSet presAssocID="{946E0FC4-3136-4971-B287-FEDB9B99B82A}" presName="image3" presStyleLbl="asst1" presStyleIdx="1" presStyleCnt="4"/>
      <dgm:spPr/>
    </dgm:pt>
    <dgm:pt modelId="{DC102485-6EDB-4E8A-854F-6822F8FB111B}" type="pres">
      <dgm:prSet presAssocID="{946E0FC4-3136-4971-B287-FEDB9B99B82A}" presName="text3" presStyleLbl="revTx" presStyleIdx="2" presStyleCnt="7">
        <dgm:presLayoutVars>
          <dgm:chPref val="3"/>
        </dgm:presLayoutVars>
      </dgm:prSet>
      <dgm:spPr/>
    </dgm:pt>
    <dgm:pt modelId="{6B4C9D05-0F98-4FDE-8F4B-AAFEBAF8550B}" type="pres">
      <dgm:prSet presAssocID="{946E0FC4-3136-4971-B287-FEDB9B99B82A}" presName="hierChild4" presStyleCnt="0"/>
      <dgm:spPr/>
    </dgm:pt>
    <dgm:pt modelId="{A14516A8-2079-4361-AA61-6EF14E135677}" type="pres">
      <dgm:prSet presAssocID="{188AB27E-61C8-4D3E-957C-41D6C11D398C}" presName="Name17" presStyleLbl="parChTrans1D3" presStyleIdx="1" presStyleCnt="4"/>
      <dgm:spPr/>
    </dgm:pt>
    <dgm:pt modelId="{7061E092-3CB7-49D9-848C-BB83A28785F1}" type="pres">
      <dgm:prSet presAssocID="{DB4E90D1-DBDA-4B8B-8DFE-4EBE29D41A84}" presName="hierRoot3" presStyleCnt="0"/>
      <dgm:spPr/>
    </dgm:pt>
    <dgm:pt modelId="{C15C2589-AEFF-4CE6-A8F2-B3B1148C9074}" type="pres">
      <dgm:prSet presAssocID="{DB4E90D1-DBDA-4B8B-8DFE-4EBE29D41A84}" presName="composite3" presStyleCnt="0"/>
      <dgm:spPr/>
    </dgm:pt>
    <dgm:pt modelId="{5C87FE9D-1A86-44ED-992B-344554D547E9}" type="pres">
      <dgm:prSet presAssocID="{DB4E90D1-DBDA-4B8B-8DFE-4EBE29D41A84}" presName="image3" presStyleLbl="asst1" presStyleIdx="2" presStyleCnt="4"/>
      <dgm:spPr/>
    </dgm:pt>
    <dgm:pt modelId="{B08DAA0B-E46E-4EAB-8B57-D85F306FA3DF}" type="pres">
      <dgm:prSet presAssocID="{DB4E90D1-DBDA-4B8B-8DFE-4EBE29D41A84}" presName="text3" presStyleLbl="revTx" presStyleIdx="3" presStyleCnt="7">
        <dgm:presLayoutVars>
          <dgm:chPref val="3"/>
        </dgm:presLayoutVars>
      </dgm:prSet>
      <dgm:spPr/>
    </dgm:pt>
    <dgm:pt modelId="{AFF8DB1B-2BEB-495D-8732-6FE8DB811C4C}" type="pres">
      <dgm:prSet presAssocID="{DB4E90D1-DBDA-4B8B-8DFE-4EBE29D41A84}" presName="hierChild4" presStyleCnt="0"/>
      <dgm:spPr/>
    </dgm:pt>
    <dgm:pt modelId="{7642BEBA-48B7-468B-8E6F-3886DCC05EE1}" type="pres">
      <dgm:prSet presAssocID="{6E28FCCB-8C8F-4B4E-BD60-57EA859B7E85}" presName="Name10" presStyleLbl="parChTrans1D2" presStyleIdx="1" presStyleCnt="2"/>
      <dgm:spPr/>
    </dgm:pt>
    <dgm:pt modelId="{B4EAA06F-5C93-4238-A916-633DF902D35E}" type="pres">
      <dgm:prSet presAssocID="{6F336C6F-945F-47EB-B7DA-D16E9B96883C}" presName="hierRoot2" presStyleCnt="0"/>
      <dgm:spPr/>
    </dgm:pt>
    <dgm:pt modelId="{8E6A363E-2578-400D-ABDD-C9F7909A0539}" type="pres">
      <dgm:prSet presAssocID="{6F336C6F-945F-47EB-B7DA-D16E9B96883C}" presName="composite2" presStyleCnt="0"/>
      <dgm:spPr/>
    </dgm:pt>
    <dgm:pt modelId="{1DA32265-5D07-4F48-AC91-9E12B39C3590}" type="pres">
      <dgm:prSet presAssocID="{6F336C6F-945F-47EB-B7DA-D16E9B96883C}" presName="image2" presStyleLbl="asst1" presStyleIdx="3" presStyleCnt="4"/>
      <dgm:spPr/>
    </dgm:pt>
    <dgm:pt modelId="{FFD8D15E-E400-4320-A1F0-9D0DB3C6C012}" type="pres">
      <dgm:prSet presAssocID="{6F336C6F-945F-47EB-B7DA-D16E9B96883C}" presName="text2" presStyleLbl="revTx" presStyleIdx="4" presStyleCnt="7">
        <dgm:presLayoutVars>
          <dgm:chPref val="3"/>
        </dgm:presLayoutVars>
      </dgm:prSet>
      <dgm:spPr/>
    </dgm:pt>
    <dgm:pt modelId="{8B950FA0-871D-49D4-8E13-0144607AD4F7}" type="pres">
      <dgm:prSet presAssocID="{6F336C6F-945F-47EB-B7DA-D16E9B96883C}" presName="hierChild3" presStyleCnt="0"/>
      <dgm:spPr/>
    </dgm:pt>
    <dgm:pt modelId="{DE2D2BA2-D297-4689-BEF5-200036E01FCE}" type="pres">
      <dgm:prSet presAssocID="{819CDF32-1FD5-4AC6-8AFF-A77150ACECE3}" presName="Name17" presStyleLbl="parChTrans1D3" presStyleIdx="2" presStyleCnt="4"/>
      <dgm:spPr/>
    </dgm:pt>
    <dgm:pt modelId="{60A40FDA-D567-4EF8-8EF4-CFCB25A5381A}" type="pres">
      <dgm:prSet presAssocID="{75E63D63-C096-4122-B265-5E0B0A455BB4}" presName="hierRoot3" presStyleCnt="0"/>
      <dgm:spPr/>
    </dgm:pt>
    <dgm:pt modelId="{6F42373B-AC02-4704-911F-9A203DA34845}" type="pres">
      <dgm:prSet presAssocID="{75E63D63-C096-4122-B265-5E0B0A455BB4}" presName="composite3" presStyleCnt="0"/>
      <dgm:spPr/>
    </dgm:pt>
    <dgm:pt modelId="{407963CA-CDE6-4637-9A6B-D89F2CB7909A}" type="pres">
      <dgm:prSet presAssocID="{75E63D63-C096-4122-B265-5E0B0A455BB4}" presName="image3" presStyleLbl="node3" presStyleIdx="0" presStyleCnt="2"/>
      <dgm:spPr/>
    </dgm:pt>
    <dgm:pt modelId="{46CBD518-E71A-461E-9F73-90462DCA18D6}" type="pres">
      <dgm:prSet presAssocID="{75E63D63-C096-4122-B265-5E0B0A455BB4}" presName="text3" presStyleLbl="revTx" presStyleIdx="5" presStyleCnt="7">
        <dgm:presLayoutVars>
          <dgm:chPref val="3"/>
        </dgm:presLayoutVars>
      </dgm:prSet>
      <dgm:spPr/>
    </dgm:pt>
    <dgm:pt modelId="{9258D7F8-145A-4955-AE10-82FAE1FC3141}" type="pres">
      <dgm:prSet presAssocID="{75E63D63-C096-4122-B265-5E0B0A455BB4}" presName="hierChild4" presStyleCnt="0"/>
      <dgm:spPr/>
    </dgm:pt>
    <dgm:pt modelId="{9A22CD02-A7A0-4EDC-8A0D-F58535A7581E}" type="pres">
      <dgm:prSet presAssocID="{C0F2455F-6D91-464E-8451-396B59DD9926}" presName="Name17" presStyleLbl="parChTrans1D3" presStyleIdx="3" presStyleCnt="4"/>
      <dgm:spPr/>
    </dgm:pt>
    <dgm:pt modelId="{525B7CF9-95B5-493A-877E-569B6157406E}" type="pres">
      <dgm:prSet presAssocID="{A8F4BF7E-0BCC-4D06-9DF4-4F033689F912}" presName="hierRoot3" presStyleCnt="0"/>
      <dgm:spPr/>
    </dgm:pt>
    <dgm:pt modelId="{FDE3058E-02F6-4898-AE43-F71138D10DE3}" type="pres">
      <dgm:prSet presAssocID="{A8F4BF7E-0BCC-4D06-9DF4-4F033689F912}" presName="composite3" presStyleCnt="0"/>
      <dgm:spPr/>
    </dgm:pt>
    <dgm:pt modelId="{886EC195-1EE8-40B8-A104-1A7F165B788B}" type="pres">
      <dgm:prSet presAssocID="{A8F4BF7E-0BCC-4D06-9DF4-4F033689F912}" presName="image3" presStyleLbl="node3" presStyleIdx="1" presStyleCnt="2"/>
      <dgm:spPr/>
    </dgm:pt>
    <dgm:pt modelId="{A10DC5FF-E4BF-4BE4-889C-863351C4B9E9}" type="pres">
      <dgm:prSet presAssocID="{A8F4BF7E-0BCC-4D06-9DF4-4F033689F912}" presName="text3" presStyleLbl="revTx" presStyleIdx="6" presStyleCnt="7">
        <dgm:presLayoutVars>
          <dgm:chPref val="3"/>
        </dgm:presLayoutVars>
      </dgm:prSet>
      <dgm:spPr/>
    </dgm:pt>
    <dgm:pt modelId="{B6E14EBA-BB4F-4223-ACFE-536D34462C2F}" type="pres">
      <dgm:prSet presAssocID="{A8F4BF7E-0BCC-4D06-9DF4-4F033689F912}" presName="hierChild4" presStyleCnt="0"/>
      <dgm:spPr/>
    </dgm:pt>
  </dgm:ptLst>
  <dgm:cxnLst>
    <dgm:cxn modelId="{D959090F-1772-49A4-A1B4-199E5DF6C4C4}" srcId="{6F336C6F-945F-47EB-B7DA-D16E9B96883C}" destId="{A8F4BF7E-0BCC-4D06-9DF4-4F033689F912}" srcOrd="1" destOrd="0" parTransId="{C0F2455F-6D91-464E-8451-396B59DD9926}" sibTransId="{4B0DEFEA-CC58-4070-A573-EC283C3F552E}"/>
    <dgm:cxn modelId="{488F1614-2A99-4990-83DC-A810833699C8}" srcId="{C1BD1B3E-FA49-4FA7-ACA1-1C3D7C04B691}" destId="{D78F4640-0D8D-4CD0-853E-D1BA6EA32722}" srcOrd="0" destOrd="0" parTransId="{71B34483-79F1-4EE5-B434-30A917B3B07E}" sibTransId="{9EF98101-C591-4FE6-9874-B901475F3378}"/>
    <dgm:cxn modelId="{27BA2974-8FF0-4397-9F52-6C935C86DDFE}" srcId="{6F336C6F-945F-47EB-B7DA-D16E9B96883C}" destId="{75E63D63-C096-4122-B265-5E0B0A455BB4}" srcOrd="0" destOrd="0" parTransId="{819CDF32-1FD5-4AC6-8AFF-A77150ACECE3}" sibTransId="{FD13F16D-BA59-45B4-B99A-FA07803B0EB2}"/>
    <dgm:cxn modelId="{625DE956-AE63-4F76-9A74-C7AE0DEA01B4}" type="presOf" srcId="{188AB27E-61C8-4D3E-957C-41D6C11D398C}" destId="{A14516A8-2079-4361-AA61-6EF14E135677}" srcOrd="0" destOrd="0" presId="urn:microsoft.com/office/officeart/2009/layout/CirclePictureHierarchy"/>
    <dgm:cxn modelId="{DD469A57-F0CC-4A97-B85D-AE0ACBFBB4B5}" type="presOf" srcId="{A8F4BF7E-0BCC-4D06-9DF4-4F033689F912}" destId="{A10DC5FF-E4BF-4BE4-889C-863351C4B9E9}" srcOrd="0" destOrd="0" presId="urn:microsoft.com/office/officeart/2009/layout/CirclePictureHierarchy"/>
    <dgm:cxn modelId="{96A5AC8F-11CF-4CDE-884E-5FFC6B8ACE61}" type="presOf" srcId="{6F336C6F-945F-47EB-B7DA-D16E9B96883C}" destId="{FFD8D15E-E400-4320-A1F0-9D0DB3C6C012}" srcOrd="0" destOrd="0" presId="urn:microsoft.com/office/officeart/2009/layout/CirclePictureHierarchy"/>
    <dgm:cxn modelId="{9A839E96-1625-412F-A120-738861B4D86F}" srcId="{5B6E1B39-C9DC-4E9E-856D-D05ED89982E4}" destId="{C1BD1B3E-FA49-4FA7-ACA1-1C3D7C04B691}" srcOrd="0" destOrd="0" parTransId="{261871E6-130B-40BF-AB29-88CC15DAC18A}" sibTransId="{EC6B29BB-DC9D-49C5-9BD2-BD41373962DC}"/>
    <dgm:cxn modelId="{E5B9B49C-1F54-45C4-8A89-9C83611B9157}" srcId="{C1BD1B3E-FA49-4FA7-ACA1-1C3D7C04B691}" destId="{6F336C6F-945F-47EB-B7DA-D16E9B96883C}" srcOrd="1" destOrd="0" parTransId="{6E28FCCB-8C8F-4B4E-BD60-57EA859B7E85}" sibTransId="{2045FA9E-9E54-455A-A31B-7DF498A10BE8}"/>
    <dgm:cxn modelId="{5A5FC5A7-9CB6-4B23-9F4D-F993501623CF}" type="presOf" srcId="{75E63D63-C096-4122-B265-5E0B0A455BB4}" destId="{46CBD518-E71A-461E-9F73-90462DCA18D6}" srcOrd="0" destOrd="0" presId="urn:microsoft.com/office/officeart/2009/layout/CirclePictureHierarchy"/>
    <dgm:cxn modelId="{B8847FAC-3306-4A5F-8A44-ED30F2A399AB}" srcId="{D78F4640-0D8D-4CD0-853E-D1BA6EA32722}" destId="{946E0FC4-3136-4971-B287-FEDB9B99B82A}" srcOrd="0" destOrd="0" parTransId="{35A24D74-F5D2-413F-93D3-4A238BEB1C34}" sibTransId="{1D51D35C-367A-408A-AAB0-61C7ED1DF2C7}"/>
    <dgm:cxn modelId="{674882AC-40A7-465C-B8B9-5B388ADE07F6}" type="presOf" srcId="{6E28FCCB-8C8F-4B4E-BD60-57EA859B7E85}" destId="{7642BEBA-48B7-468B-8E6F-3886DCC05EE1}" srcOrd="0" destOrd="0" presId="urn:microsoft.com/office/officeart/2009/layout/CirclePictureHierarchy"/>
    <dgm:cxn modelId="{1EF753AF-27DF-4B90-ACC7-5F229288487B}" type="presOf" srcId="{C1BD1B3E-FA49-4FA7-ACA1-1C3D7C04B691}" destId="{87E1B238-E644-4A00-955D-A22EDC04B62F}" srcOrd="0" destOrd="0" presId="urn:microsoft.com/office/officeart/2009/layout/CirclePictureHierarchy"/>
    <dgm:cxn modelId="{57982EB1-F3F6-4985-83CB-BEB28734E57E}" type="presOf" srcId="{D78F4640-0D8D-4CD0-853E-D1BA6EA32722}" destId="{941959C9-136F-44AC-89D3-2BA51249DBC5}" srcOrd="0" destOrd="0" presId="urn:microsoft.com/office/officeart/2009/layout/CirclePictureHierarchy"/>
    <dgm:cxn modelId="{07937DB6-E753-4AC5-8D73-9F0016CAB228}" type="presOf" srcId="{5B6E1B39-C9DC-4E9E-856D-D05ED89982E4}" destId="{BC4EC41B-0753-4682-83C6-FD88E4483144}" srcOrd="0" destOrd="0" presId="urn:microsoft.com/office/officeart/2009/layout/CirclePictureHierarchy"/>
    <dgm:cxn modelId="{328055C8-B0C1-477F-8E62-563E439C83A4}" type="presOf" srcId="{35A24D74-F5D2-413F-93D3-4A238BEB1C34}" destId="{87E7438A-2A4A-4A18-AC13-1899B9D3DECB}" srcOrd="0" destOrd="0" presId="urn:microsoft.com/office/officeart/2009/layout/CirclePictureHierarchy"/>
    <dgm:cxn modelId="{7DE8A3D8-4BD3-4BCB-AB10-4DAB509141DF}" type="presOf" srcId="{819CDF32-1FD5-4AC6-8AFF-A77150ACECE3}" destId="{DE2D2BA2-D297-4689-BEF5-200036E01FCE}" srcOrd="0" destOrd="0" presId="urn:microsoft.com/office/officeart/2009/layout/CirclePictureHierarchy"/>
    <dgm:cxn modelId="{C07B1BD9-9823-4C6F-945C-174EDC42A853}" type="presOf" srcId="{DB4E90D1-DBDA-4B8B-8DFE-4EBE29D41A84}" destId="{B08DAA0B-E46E-4EAB-8B57-D85F306FA3DF}" srcOrd="0" destOrd="0" presId="urn:microsoft.com/office/officeart/2009/layout/CirclePictureHierarchy"/>
    <dgm:cxn modelId="{789EE0DE-ABB4-4309-A528-28E436311A4F}" type="presOf" srcId="{71B34483-79F1-4EE5-B434-30A917B3B07E}" destId="{0050FBC2-81AB-46AC-A911-7CCA3B82E5AD}" srcOrd="0" destOrd="0" presId="urn:microsoft.com/office/officeart/2009/layout/CirclePictureHierarchy"/>
    <dgm:cxn modelId="{FFE912E2-B704-4714-8D7F-D93DC1CA2ECA}" type="presOf" srcId="{C0F2455F-6D91-464E-8451-396B59DD9926}" destId="{9A22CD02-A7A0-4EDC-8A0D-F58535A7581E}" srcOrd="0" destOrd="0" presId="urn:microsoft.com/office/officeart/2009/layout/CirclePictureHierarchy"/>
    <dgm:cxn modelId="{2D8D63E5-3598-4946-99BC-2BB1B474108A}" srcId="{D78F4640-0D8D-4CD0-853E-D1BA6EA32722}" destId="{DB4E90D1-DBDA-4B8B-8DFE-4EBE29D41A84}" srcOrd="1" destOrd="0" parTransId="{188AB27E-61C8-4D3E-957C-41D6C11D398C}" sibTransId="{DE5FEA41-1D49-4F3C-B9FD-5E556AF29387}"/>
    <dgm:cxn modelId="{511914F7-1C8C-4BA2-8E9F-8158E70F7FBC}" type="presOf" srcId="{946E0FC4-3136-4971-B287-FEDB9B99B82A}" destId="{DC102485-6EDB-4E8A-854F-6822F8FB111B}" srcOrd="0" destOrd="0" presId="urn:microsoft.com/office/officeart/2009/layout/CirclePictureHierarchy"/>
    <dgm:cxn modelId="{22A0809F-0D67-4EA1-A775-5B8B14FAEF41}" type="presParOf" srcId="{BC4EC41B-0753-4682-83C6-FD88E4483144}" destId="{9D27C5F6-9806-4C86-84D3-2307C0E43D47}" srcOrd="0" destOrd="0" presId="urn:microsoft.com/office/officeart/2009/layout/CirclePictureHierarchy"/>
    <dgm:cxn modelId="{0922EA04-320F-4E92-8FD5-8E449D33F57E}" type="presParOf" srcId="{9D27C5F6-9806-4C86-84D3-2307C0E43D47}" destId="{CCEAC4A1-E349-4A93-B3B8-528BE33D7A1B}" srcOrd="0" destOrd="0" presId="urn:microsoft.com/office/officeart/2009/layout/CirclePictureHierarchy"/>
    <dgm:cxn modelId="{F0C3CC13-7861-42BA-B943-6EDA83E629AF}" type="presParOf" srcId="{CCEAC4A1-E349-4A93-B3B8-528BE33D7A1B}" destId="{103C34FF-57DE-489C-AAA8-3479EACD860A}" srcOrd="0" destOrd="0" presId="urn:microsoft.com/office/officeart/2009/layout/CirclePictureHierarchy"/>
    <dgm:cxn modelId="{DF292BFA-179B-464C-8F91-B72B3BBC7A09}" type="presParOf" srcId="{CCEAC4A1-E349-4A93-B3B8-528BE33D7A1B}" destId="{87E1B238-E644-4A00-955D-A22EDC04B62F}" srcOrd="1" destOrd="0" presId="urn:microsoft.com/office/officeart/2009/layout/CirclePictureHierarchy"/>
    <dgm:cxn modelId="{02BAA08B-6918-4A6D-AB3E-039DF2FEED88}" type="presParOf" srcId="{9D27C5F6-9806-4C86-84D3-2307C0E43D47}" destId="{AE48570D-511A-4459-8841-AD6E726821E9}" srcOrd="1" destOrd="0" presId="urn:microsoft.com/office/officeart/2009/layout/CirclePictureHierarchy"/>
    <dgm:cxn modelId="{ABFF163D-91B9-408F-9355-4548CDD9C3F7}" type="presParOf" srcId="{AE48570D-511A-4459-8841-AD6E726821E9}" destId="{0050FBC2-81AB-46AC-A911-7CCA3B82E5AD}" srcOrd="0" destOrd="0" presId="urn:microsoft.com/office/officeart/2009/layout/CirclePictureHierarchy"/>
    <dgm:cxn modelId="{0E01B0E6-E294-4A1B-BF00-B6A4F6A12D1B}" type="presParOf" srcId="{AE48570D-511A-4459-8841-AD6E726821E9}" destId="{66BD0D34-A374-4497-9D16-ABC97D9958EC}" srcOrd="1" destOrd="0" presId="urn:microsoft.com/office/officeart/2009/layout/CirclePictureHierarchy"/>
    <dgm:cxn modelId="{325B547C-5B27-4701-836E-66C5E6D3A351}" type="presParOf" srcId="{66BD0D34-A374-4497-9D16-ABC97D9958EC}" destId="{5ACF49C9-751D-4BBA-AA11-EBA9E7A8BD52}" srcOrd="0" destOrd="0" presId="urn:microsoft.com/office/officeart/2009/layout/CirclePictureHierarchy"/>
    <dgm:cxn modelId="{36DC46FB-5AC0-4580-AC84-F3971D0D7276}" type="presParOf" srcId="{5ACF49C9-751D-4BBA-AA11-EBA9E7A8BD52}" destId="{07E117DA-6BFE-4FCF-9E1B-5CFCBD5C21A0}" srcOrd="0" destOrd="0" presId="urn:microsoft.com/office/officeart/2009/layout/CirclePictureHierarchy"/>
    <dgm:cxn modelId="{E402752F-950D-436D-9E20-5F62ED396E8E}" type="presParOf" srcId="{5ACF49C9-751D-4BBA-AA11-EBA9E7A8BD52}" destId="{941959C9-136F-44AC-89D3-2BA51249DBC5}" srcOrd="1" destOrd="0" presId="urn:microsoft.com/office/officeart/2009/layout/CirclePictureHierarchy"/>
    <dgm:cxn modelId="{542E1EE7-E534-4789-9530-8522EE901AFA}" type="presParOf" srcId="{66BD0D34-A374-4497-9D16-ABC97D9958EC}" destId="{8AB8EB37-8BDB-41EB-AF55-B41883DF9ADA}" srcOrd="1" destOrd="0" presId="urn:microsoft.com/office/officeart/2009/layout/CirclePictureHierarchy"/>
    <dgm:cxn modelId="{99DB8124-BC52-4034-9EC4-9BADD783E010}" type="presParOf" srcId="{8AB8EB37-8BDB-41EB-AF55-B41883DF9ADA}" destId="{87E7438A-2A4A-4A18-AC13-1899B9D3DECB}" srcOrd="0" destOrd="0" presId="urn:microsoft.com/office/officeart/2009/layout/CirclePictureHierarchy"/>
    <dgm:cxn modelId="{F768AC30-EAC2-4032-BE4C-0D595FF4BD6B}" type="presParOf" srcId="{8AB8EB37-8BDB-41EB-AF55-B41883DF9ADA}" destId="{3F21A2D3-BCFC-4B15-BB1C-0071B226F251}" srcOrd="1" destOrd="0" presId="urn:microsoft.com/office/officeart/2009/layout/CirclePictureHierarchy"/>
    <dgm:cxn modelId="{7884964E-04D2-4DA5-8515-C19D9CE18057}" type="presParOf" srcId="{3F21A2D3-BCFC-4B15-BB1C-0071B226F251}" destId="{7739F517-DCB2-49A2-93E8-6C31B5EA5864}" srcOrd="0" destOrd="0" presId="urn:microsoft.com/office/officeart/2009/layout/CirclePictureHierarchy"/>
    <dgm:cxn modelId="{1AA45206-BE78-49E5-9105-E0CD278E306D}" type="presParOf" srcId="{7739F517-DCB2-49A2-93E8-6C31B5EA5864}" destId="{885749BC-7A47-48F8-B50A-C463719326D4}" srcOrd="0" destOrd="0" presId="urn:microsoft.com/office/officeart/2009/layout/CirclePictureHierarchy"/>
    <dgm:cxn modelId="{66F0B7C8-8BFA-49A3-8BFD-92292B892B42}" type="presParOf" srcId="{7739F517-DCB2-49A2-93E8-6C31B5EA5864}" destId="{DC102485-6EDB-4E8A-854F-6822F8FB111B}" srcOrd="1" destOrd="0" presId="urn:microsoft.com/office/officeart/2009/layout/CirclePictureHierarchy"/>
    <dgm:cxn modelId="{DE333ECA-E917-49B5-A64C-97BE46D985C0}" type="presParOf" srcId="{3F21A2D3-BCFC-4B15-BB1C-0071B226F251}" destId="{6B4C9D05-0F98-4FDE-8F4B-AAFEBAF8550B}" srcOrd="1" destOrd="0" presId="urn:microsoft.com/office/officeart/2009/layout/CirclePictureHierarchy"/>
    <dgm:cxn modelId="{7CEE3EE4-87DF-4433-9EDD-93BE7D528C16}" type="presParOf" srcId="{8AB8EB37-8BDB-41EB-AF55-B41883DF9ADA}" destId="{A14516A8-2079-4361-AA61-6EF14E135677}" srcOrd="2" destOrd="0" presId="urn:microsoft.com/office/officeart/2009/layout/CirclePictureHierarchy"/>
    <dgm:cxn modelId="{B3DBC7AA-1964-48EC-8800-D4E5D3C12A5E}" type="presParOf" srcId="{8AB8EB37-8BDB-41EB-AF55-B41883DF9ADA}" destId="{7061E092-3CB7-49D9-848C-BB83A28785F1}" srcOrd="3" destOrd="0" presId="urn:microsoft.com/office/officeart/2009/layout/CirclePictureHierarchy"/>
    <dgm:cxn modelId="{6D3B6726-4FFA-4EBA-BE17-20F928C7D172}" type="presParOf" srcId="{7061E092-3CB7-49D9-848C-BB83A28785F1}" destId="{C15C2589-AEFF-4CE6-A8F2-B3B1148C9074}" srcOrd="0" destOrd="0" presId="urn:microsoft.com/office/officeart/2009/layout/CirclePictureHierarchy"/>
    <dgm:cxn modelId="{BE00803F-43D0-44D6-A60F-527B0E0E421E}" type="presParOf" srcId="{C15C2589-AEFF-4CE6-A8F2-B3B1148C9074}" destId="{5C87FE9D-1A86-44ED-992B-344554D547E9}" srcOrd="0" destOrd="0" presId="urn:microsoft.com/office/officeart/2009/layout/CirclePictureHierarchy"/>
    <dgm:cxn modelId="{079EEC97-17E9-4E29-B589-283C77FE03C4}" type="presParOf" srcId="{C15C2589-AEFF-4CE6-A8F2-B3B1148C9074}" destId="{B08DAA0B-E46E-4EAB-8B57-D85F306FA3DF}" srcOrd="1" destOrd="0" presId="urn:microsoft.com/office/officeart/2009/layout/CirclePictureHierarchy"/>
    <dgm:cxn modelId="{66EC2F62-2FB1-422D-9AD6-F084755CF5DA}" type="presParOf" srcId="{7061E092-3CB7-49D9-848C-BB83A28785F1}" destId="{AFF8DB1B-2BEB-495D-8732-6FE8DB811C4C}" srcOrd="1" destOrd="0" presId="urn:microsoft.com/office/officeart/2009/layout/CirclePictureHierarchy"/>
    <dgm:cxn modelId="{B3D75129-F657-466C-BF85-C2E9B1A2A0AE}" type="presParOf" srcId="{AE48570D-511A-4459-8841-AD6E726821E9}" destId="{7642BEBA-48B7-468B-8E6F-3886DCC05EE1}" srcOrd="2" destOrd="0" presId="urn:microsoft.com/office/officeart/2009/layout/CirclePictureHierarchy"/>
    <dgm:cxn modelId="{6F1F6DC9-C256-4FCA-9D41-EB8DE6D67EB5}" type="presParOf" srcId="{AE48570D-511A-4459-8841-AD6E726821E9}" destId="{B4EAA06F-5C93-4238-A916-633DF902D35E}" srcOrd="3" destOrd="0" presId="urn:microsoft.com/office/officeart/2009/layout/CirclePictureHierarchy"/>
    <dgm:cxn modelId="{4234BAAF-20BE-4D41-BE78-BC8CFCC618B3}" type="presParOf" srcId="{B4EAA06F-5C93-4238-A916-633DF902D35E}" destId="{8E6A363E-2578-400D-ABDD-C9F7909A0539}" srcOrd="0" destOrd="0" presId="urn:microsoft.com/office/officeart/2009/layout/CirclePictureHierarchy"/>
    <dgm:cxn modelId="{3A03A007-B7B5-437D-8602-AF1B5CBD7D07}" type="presParOf" srcId="{8E6A363E-2578-400D-ABDD-C9F7909A0539}" destId="{1DA32265-5D07-4F48-AC91-9E12B39C3590}" srcOrd="0" destOrd="0" presId="urn:microsoft.com/office/officeart/2009/layout/CirclePictureHierarchy"/>
    <dgm:cxn modelId="{580C270E-F8F0-4E00-A4E1-6C318CCEF423}" type="presParOf" srcId="{8E6A363E-2578-400D-ABDD-C9F7909A0539}" destId="{FFD8D15E-E400-4320-A1F0-9D0DB3C6C012}" srcOrd="1" destOrd="0" presId="urn:microsoft.com/office/officeart/2009/layout/CirclePictureHierarchy"/>
    <dgm:cxn modelId="{484CB9D0-F2E7-4510-A20D-44C7A788F6B6}" type="presParOf" srcId="{B4EAA06F-5C93-4238-A916-633DF902D35E}" destId="{8B950FA0-871D-49D4-8E13-0144607AD4F7}" srcOrd="1" destOrd="0" presId="urn:microsoft.com/office/officeart/2009/layout/CirclePictureHierarchy"/>
    <dgm:cxn modelId="{977BD460-705D-40A9-BECB-9E949CE0F547}" type="presParOf" srcId="{8B950FA0-871D-49D4-8E13-0144607AD4F7}" destId="{DE2D2BA2-D297-4689-BEF5-200036E01FCE}" srcOrd="0" destOrd="0" presId="urn:microsoft.com/office/officeart/2009/layout/CirclePictureHierarchy"/>
    <dgm:cxn modelId="{69271CFF-DE35-496C-8FF8-F043B3B64C2C}" type="presParOf" srcId="{8B950FA0-871D-49D4-8E13-0144607AD4F7}" destId="{60A40FDA-D567-4EF8-8EF4-CFCB25A5381A}" srcOrd="1" destOrd="0" presId="urn:microsoft.com/office/officeart/2009/layout/CirclePictureHierarchy"/>
    <dgm:cxn modelId="{5B7BA76D-6466-4A23-A9DD-BFF4FF6108EF}" type="presParOf" srcId="{60A40FDA-D567-4EF8-8EF4-CFCB25A5381A}" destId="{6F42373B-AC02-4704-911F-9A203DA34845}" srcOrd="0" destOrd="0" presId="urn:microsoft.com/office/officeart/2009/layout/CirclePictureHierarchy"/>
    <dgm:cxn modelId="{07D67DAE-D3E2-493F-B741-1D9B0E8208F5}" type="presParOf" srcId="{6F42373B-AC02-4704-911F-9A203DA34845}" destId="{407963CA-CDE6-4637-9A6B-D89F2CB7909A}" srcOrd="0" destOrd="0" presId="urn:microsoft.com/office/officeart/2009/layout/CirclePictureHierarchy"/>
    <dgm:cxn modelId="{18A01851-0DA8-4167-A830-3EE627310F18}" type="presParOf" srcId="{6F42373B-AC02-4704-911F-9A203DA34845}" destId="{46CBD518-E71A-461E-9F73-90462DCA18D6}" srcOrd="1" destOrd="0" presId="urn:microsoft.com/office/officeart/2009/layout/CirclePictureHierarchy"/>
    <dgm:cxn modelId="{6B734692-5A45-473E-9953-452CFE6ED68F}" type="presParOf" srcId="{60A40FDA-D567-4EF8-8EF4-CFCB25A5381A}" destId="{9258D7F8-145A-4955-AE10-82FAE1FC3141}" srcOrd="1" destOrd="0" presId="urn:microsoft.com/office/officeart/2009/layout/CirclePictureHierarchy"/>
    <dgm:cxn modelId="{8B718854-E7F7-4E21-83CA-28797362DC5B}" type="presParOf" srcId="{8B950FA0-871D-49D4-8E13-0144607AD4F7}" destId="{9A22CD02-A7A0-4EDC-8A0D-F58535A7581E}" srcOrd="2" destOrd="0" presId="urn:microsoft.com/office/officeart/2009/layout/CirclePictureHierarchy"/>
    <dgm:cxn modelId="{864A5F49-2CB3-49F9-B662-ED8E6D262695}" type="presParOf" srcId="{8B950FA0-871D-49D4-8E13-0144607AD4F7}" destId="{525B7CF9-95B5-493A-877E-569B6157406E}" srcOrd="3" destOrd="0" presId="urn:microsoft.com/office/officeart/2009/layout/CirclePictureHierarchy"/>
    <dgm:cxn modelId="{B56A8703-5625-4A92-BE25-8A88BCB9F868}" type="presParOf" srcId="{525B7CF9-95B5-493A-877E-569B6157406E}" destId="{FDE3058E-02F6-4898-AE43-F71138D10DE3}" srcOrd="0" destOrd="0" presId="urn:microsoft.com/office/officeart/2009/layout/CirclePictureHierarchy"/>
    <dgm:cxn modelId="{D99B66C7-3AB0-46B3-93A6-1DF8B11F2CBA}" type="presParOf" srcId="{FDE3058E-02F6-4898-AE43-F71138D10DE3}" destId="{886EC195-1EE8-40B8-A104-1A7F165B788B}" srcOrd="0" destOrd="0" presId="urn:microsoft.com/office/officeart/2009/layout/CirclePictureHierarchy"/>
    <dgm:cxn modelId="{0435C6FF-AAB1-4093-BE07-0B84F8A1A6E3}" type="presParOf" srcId="{FDE3058E-02F6-4898-AE43-F71138D10DE3}" destId="{A10DC5FF-E4BF-4BE4-889C-863351C4B9E9}" srcOrd="1" destOrd="0" presId="urn:microsoft.com/office/officeart/2009/layout/CirclePictureHierarchy"/>
    <dgm:cxn modelId="{59950AE6-1907-492F-97D8-DFBDEE06935E}" type="presParOf" srcId="{525B7CF9-95B5-493A-877E-569B6157406E}" destId="{B6E14EBA-BB4F-4223-ACFE-536D34462C2F}" srcOrd="1" destOrd="0" presId="urn:microsoft.com/office/officeart/2009/layout/CirclePictureHierarchy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A22CD02-A7A0-4EDC-8A0D-F58535A7581E}">
      <dsp:nvSpPr>
        <dsp:cNvPr id="0" name=""/>
        <dsp:cNvSpPr/>
      </dsp:nvSpPr>
      <dsp:spPr>
        <a:xfrm>
          <a:off x="3136106" y="1584657"/>
          <a:ext cx="584448" cy="1338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477"/>
              </a:lnTo>
              <a:lnTo>
                <a:pt x="584448" y="67477"/>
              </a:lnTo>
              <a:lnTo>
                <a:pt x="584448" y="1338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2D2BA2-D297-4689-BEF5-200036E01FCE}">
      <dsp:nvSpPr>
        <dsp:cNvPr id="0" name=""/>
        <dsp:cNvSpPr/>
      </dsp:nvSpPr>
      <dsp:spPr>
        <a:xfrm>
          <a:off x="2551658" y="1584657"/>
          <a:ext cx="584448" cy="133891"/>
        </a:xfrm>
        <a:custGeom>
          <a:avLst/>
          <a:gdLst/>
          <a:ahLst/>
          <a:cxnLst/>
          <a:rect l="0" t="0" r="0" b="0"/>
          <a:pathLst>
            <a:path>
              <a:moveTo>
                <a:pt x="584448" y="0"/>
              </a:moveTo>
              <a:lnTo>
                <a:pt x="584448" y="67477"/>
              </a:lnTo>
              <a:lnTo>
                <a:pt x="0" y="67477"/>
              </a:lnTo>
              <a:lnTo>
                <a:pt x="0" y="1338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42BEBA-48B7-468B-8E6F-3886DCC05EE1}">
      <dsp:nvSpPr>
        <dsp:cNvPr id="0" name=""/>
        <dsp:cNvSpPr/>
      </dsp:nvSpPr>
      <dsp:spPr>
        <a:xfrm>
          <a:off x="1967210" y="1025713"/>
          <a:ext cx="1168896" cy="1338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477"/>
              </a:lnTo>
              <a:lnTo>
                <a:pt x="1168896" y="67477"/>
              </a:lnTo>
              <a:lnTo>
                <a:pt x="1168896" y="13389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4516A8-2079-4361-AA61-6EF14E135677}">
      <dsp:nvSpPr>
        <dsp:cNvPr id="0" name=""/>
        <dsp:cNvSpPr/>
      </dsp:nvSpPr>
      <dsp:spPr>
        <a:xfrm>
          <a:off x="798314" y="1584657"/>
          <a:ext cx="584448" cy="1338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477"/>
              </a:lnTo>
              <a:lnTo>
                <a:pt x="584448" y="67477"/>
              </a:lnTo>
              <a:lnTo>
                <a:pt x="584448" y="1338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E7438A-2A4A-4A18-AC13-1899B9D3DECB}">
      <dsp:nvSpPr>
        <dsp:cNvPr id="0" name=""/>
        <dsp:cNvSpPr/>
      </dsp:nvSpPr>
      <dsp:spPr>
        <a:xfrm>
          <a:off x="213866" y="1584657"/>
          <a:ext cx="584448" cy="133891"/>
        </a:xfrm>
        <a:custGeom>
          <a:avLst/>
          <a:gdLst/>
          <a:ahLst/>
          <a:cxnLst/>
          <a:rect l="0" t="0" r="0" b="0"/>
          <a:pathLst>
            <a:path>
              <a:moveTo>
                <a:pt x="584448" y="0"/>
              </a:moveTo>
              <a:lnTo>
                <a:pt x="584448" y="67477"/>
              </a:lnTo>
              <a:lnTo>
                <a:pt x="0" y="67477"/>
              </a:lnTo>
              <a:lnTo>
                <a:pt x="0" y="1338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50FBC2-81AB-46AC-A911-7CCA3B82E5AD}">
      <dsp:nvSpPr>
        <dsp:cNvPr id="0" name=""/>
        <dsp:cNvSpPr/>
      </dsp:nvSpPr>
      <dsp:spPr>
        <a:xfrm>
          <a:off x="798314" y="1025713"/>
          <a:ext cx="1168896" cy="133891"/>
        </a:xfrm>
        <a:custGeom>
          <a:avLst/>
          <a:gdLst/>
          <a:ahLst/>
          <a:cxnLst/>
          <a:rect l="0" t="0" r="0" b="0"/>
          <a:pathLst>
            <a:path>
              <a:moveTo>
                <a:pt x="1168896" y="0"/>
              </a:moveTo>
              <a:lnTo>
                <a:pt x="1168896" y="67477"/>
              </a:lnTo>
              <a:lnTo>
                <a:pt x="0" y="67477"/>
              </a:lnTo>
              <a:lnTo>
                <a:pt x="0" y="13389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3C34FF-57DE-489C-AAA8-3479EACD860A}">
      <dsp:nvSpPr>
        <dsp:cNvPr id="0" name=""/>
        <dsp:cNvSpPr/>
      </dsp:nvSpPr>
      <dsp:spPr>
        <a:xfrm>
          <a:off x="1754683" y="600659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7E1B238-E644-4A00-955D-A22EDC04B62F}">
      <dsp:nvSpPr>
        <dsp:cNvPr id="0" name=""/>
        <dsp:cNvSpPr/>
      </dsp:nvSpPr>
      <dsp:spPr>
        <a:xfrm>
          <a:off x="2179736" y="599597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Manager</a:t>
          </a:r>
        </a:p>
      </dsp:txBody>
      <dsp:txXfrm>
        <a:off x="2179736" y="599597"/>
        <a:ext cx="637579" cy="425053"/>
      </dsp:txXfrm>
    </dsp:sp>
    <dsp:sp modelId="{07E117DA-6BFE-4FCF-9E1B-5CFCBD5C21A0}">
      <dsp:nvSpPr>
        <dsp:cNvPr id="0" name=""/>
        <dsp:cNvSpPr/>
      </dsp:nvSpPr>
      <dsp:spPr>
        <a:xfrm>
          <a:off x="585787" y="1159604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41959C9-136F-44AC-89D3-2BA51249DBC5}">
      <dsp:nvSpPr>
        <dsp:cNvPr id="0" name=""/>
        <dsp:cNvSpPr/>
      </dsp:nvSpPr>
      <dsp:spPr>
        <a:xfrm>
          <a:off x="1010840" y="1158542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Supervisor</a:t>
          </a:r>
        </a:p>
      </dsp:txBody>
      <dsp:txXfrm>
        <a:off x="1010840" y="1158542"/>
        <a:ext cx="637579" cy="425053"/>
      </dsp:txXfrm>
    </dsp:sp>
    <dsp:sp modelId="{885749BC-7A47-48F8-B50A-C463719326D4}">
      <dsp:nvSpPr>
        <dsp:cNvPr id="0" name=""/>
        <dsp:cNvSpPr/>
      </dsp:nvSpPr>
      <dsp:spPr>
        <a:xfrm>
          <a:off x="1339" y="1718549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C102485-6EDB-4E8A-854F-6822F8FB111B}">
      <dsp:nvSpPr>
        <dsp:cNvPr id="0" name=""/>
        <dsp:cNvSpPr/>
      </dsp:nvSpPr>
      <dsp:spPr>
        <a:xfrm>
          <a:off x="426392" y="1717486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Staff</a:t>
          </a:r>
        </a:p>
      </dsp:txBody>
      <dsp:txXfrm>
        <a:off x="426392" y="1717486"/>
        <a:ext cx="637579" cy="425053"/>
      </dsp:txXfrm>
    </dsp:sp>
    <dsp:sp modelId="{5C87FE9D-1A86-44ED-992B-344554D547E9}">
      <dsp:nvSpPr>
        <dsp:cNvPr id="0" name=""/>
        <dsp:cNvSpPr/>
      </dsp:nvSpPr>
      <dsp:spPr>
        <a:xfrm>
          <a:off x="1170235" y="1718549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08DAA0B-E46E-4EAB-8B57-D85F306FA3DF}">
      <dsp:nvSpPr>
        <dsp:cNvPr id="0" name=""/>
        <dsp:cNvSpPr/>
      </dsp:nvSpPr>
      <dsp:spPr>
        <a:xfrm>
          <a:off x="1595288" y="1717486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Staff</a:t>
          </a:r>
        </a:p>
      </dsp:txBody>
      <dsp:txXfrm>
        <a:off x="1595288" y="1717486"/>
        <a:ext cx="637579" cy="425053"/>
      </dsp:txXfrm>
    </dsp:sp>
    <dsp:sp modelId="{1DA32265-5D07-4F48-AC91-9E12B39C3590}">
      <dsp:nvSpPr>
        <dsp:cNvPr id="0" name=""/>
        <dsp:cNvSpPr/>
      </dsp:nvSpPr>
      <dsp:spPr>
        <a:xfrm>
          <a:off x="2923579" y="1159604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FD8D15E-E400-4320-A1F0-9D0DB3C6C012}">
      <dsp:nvSpPr>
        <dsp:cNvPr id="0" name=""/>
        <dsp:cNvSpPr/>
      </dsp:nvSpPr>
      <dsp:spPr>
        <a:xfrm>
          <a:off x="3348632" y="1158542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Supervisor</a:t>
          </a:r>
        </a:p>
      </dsp:txBody>
      <dsp:txXfrm>
        <a:off x="3348632" y="1158542"/>
        <a:ext cx="637579" cy="425053"/>
      </dsp:txXfrm>
    </dsp:sp>
    <dsp:sp modelId="{407963CA-CDE6-4637-9A6B-D89F2CB7909A}">
      <dsp:nvSpPr>
        <dsp:cNvPr id="0" name=""/>
        <dsp:cNvSpPr/>
      </dsp:nvSpPr>
      <dsp:spPr>
        <a:xfrm>
          <a:off x="2339131" y="1718549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6CBD518-E71A-461E-9F73-90462DCA18D6}">
      <dsp:nvSpPr>
        <dsp:cNvPr id="0" name=""/>
        <dsp:cNvSpPr/>
      </dsp:nvSpPr>
      <dsp:spPr>
        <a:xfrm>
          <a:off x="2764184" y="1717486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Staff</a:t>
          </a:r>
        </a:p>
      </dsp:txBody>
      <dsp:txXfrm>
        <a:off x="2764184" y="1717486"/>
        <a:ext cx="637579" cy="425053"/>
      </dsp:txXfrm>
    </dsp:sp>
    <dsp:sp modelId="{886EC195-1EE8-40B8-A104-1A7F165B788B}">
      <dsp:nvSpPr>
        <dsp:cNvPr id="0" name=""/>
        <dsp:cNvSpPr/>
      </dsp:nvSpPr>
      <dsp:spPr>
        <a:xfrm>
          <a:off x="3508027" y="1718549"/>
          <a:ext cx="425053" cy="42505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10DC5FF-E4BF-4BE4-889C-863351C4B9E9}">
      <dsp:nvSpPr>
        <dsp:cNvPr id="0" name=""/>
        <dsp:cNvSpPr/>
      </dsp:nvSpPr>
      <dsp:spPr>
        <a:xfrm>
          <a:off x="3933080" y="1717486"/>
          <a:ext cx="637579" cy="42505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d-ID" sz="1000" kern="1200"/>
            <a:t>Staff</a:t>
          </a:r>
        </a:p>
      </dsp:txBody>
      <dsp:txXfrm>
        <a:off x="3933080" y="1717486"/>
        <a:ext cx="637579" cy="42505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layout/CirclePictureHierarchy">
  <dgm:title val=""/>
  <dgm:desc val=""/>
  <dgm:catLst>
    <dgm:cat type="hierarchy" pri="1750"/>
    <dgm:cat type="picture" pri="23000"/>
    <dgm:cat type="pictureconvert" pri="2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5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h" for="ch" forName="image" refType="h" fact="0.8"/>
              <dgm:constr type="w" for="ch" forName="image" refType="h" refFor="ch" refForName="image"/>
              <dgm:constr type="t" for="ch" forName="image" refType="h" fact="0.1"/>
              <dgm:constr type="l" for="ch" forName="image"/>
              <dgm:constr type="w" for="ch" forName="text" refType="w" fact="0.6"/>
              <dgm:constr type="h" for="ch" forName="text" refType="h" fact="0.8"/>
              <dgm:constr type="t" for="ch" forName="text" refType="w" fact="0.04"/>
              <dgm:constr type="l" for="ch" forName="text" refType="w" fact="0.4"/>
            </dgm:constrLst>
            <dgm:ruleLst/>
            <dgm:layoutNode name="image" styleLbl="node0">
              <dgm:alg type="sp"/>
              <dgm:shape xmlns:r="http://schemas.openxmlformats.org/officeDocument/2006/relationships" type="ellipse" r:blip="" blipPhldr="1">
                <dgm:adjLst/>
              </dgm:shape>
              <dgm:presOf/>
              <dgm:constrLst/>
              <dgm:ruleLst/>
            </dgm:layoutNode>
            <dgm:layoutNode name="text" styleLbl="revTx">
              <dgm:varLst>
                <dgm:chPref val="3"/>
              </dgm:varLst>
              <dgm:alg type="tx">
                <dgm:param type="parTxLTRAlign" val="l"/>
                <dgm:param type="parTxRTLAlign" val="r"/>
              </dgm:alg>
              <dgm:shape xmlns:r="http://schemas.openxmlformats.org/officeDocument/2006/relationships" type="rect" r:blip="">
                <dgm:adjLst/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image"/>
                    <dgm:param type="dstNode" val="image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h" for="ch" forName="image2" refType="h" fact="0.8"/>
                      <dgm:constr type="w" for="ch" forName="image2" refType="h" refFor="ch" refForName="image2"/>
                      <dgm:constr type="t" for="ch" forName="image2" refType="h" fact="0.1"/>
                      <dgm:constr type="l" for="ch" forName="image2"/>
                      <dgm:constr type="w" for="ch" forName="text2" refType="w" fact="0.6"/>
                      <dgm:constr type="h" for="ch" forName="text2" refType="h" fact="0.8"/>
                      <dgm:constr type="t" for="ch" forName="text2" refType="w" fact="0.04"/>
                      <dgm:constr type="l" for="ch" forName="text2" refType="w" fact="0.4"/>
                    </dgm:constrLst>
                    <dgm:ruleLst/>
                    <dgm:layoutNode name="image2">
                      <dgm:alg type="sp"/>
                      <dgm:shape xmlns:r="http://schemas.openxmlformats.org/officeDocument/2006/relationships" type="ellipse" r:blip="" blipPhldr="1">
                        <dgm:adjLst/>
                      </dgm:shape>
                      <dgm:presOf/>
                      <dgm:constrLst/>
                      <dgm:ruleLst/>
                    </dgm:layoutNode>
                    <dgm:layoutNode name="text2" styleLbl="revTx">
                      <dgm:varLst>
                        <dgm:chPref val="3"/>
                      </dgm:varLst>
                      <dgm:alg type="tx">
                        <dgm:param type="parTxLTRAlign" val="l"/>
                        <dgm:param type="parTxRTLAlign" val="r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image2"/>
                            <dgm:param type="dstNode" val="image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h" for="ch" forName="image3" refType="h" fact="0.8"/>
                              <dgm:constr type="w" for="ch" forName="image3" refType="h" refFor="ch" refForName="image3"/>
                              <dgm:constr type="t" for="ch" forName="image3" refType="h" fact="0.1"/>
                              <dgm:constr type="l" for="ch" forName="image3"/>
                              <dgm:constr type="w" for="ch" forName="text3" refType="w" fact="0.6"/>
                              <dgm:constr type="h" for="ch" forName="text3" refType="h" fact="0.8"/>
                              <dgm:constr type="t" for="ch" forName="text3" refType="w" fact="0.04"/>
                              <dgm:constr type="l" for="ch" forName="text3" refType="w" fact="0.4"/>
                            </dgm:constrLst>
                            <dgm:ruleLst/>
                            <dgm:layoutNode name="image3">
                              <dgm:alg type="sp"/>
                              <dgm:shape xmlns:r="http://schemas.openxmlformats.org/officeDocument/2006/relationships" type="ellipse" r:blip="" blipPhldr="1">
                                <dgm:adjLst/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revTx">
                              <dgm:varLst>
                                <dgm:chPref val="3"/>
                              </dgm:varLst>
                              <dgm:alg type="tx">
                                <dgm:param type="parTxLTRAlign" val="l"/>
                                <dgm:param type="parTxRTLAlign" val="r"/>
                              </dgm:alg>
                              <dgm:shape xmlns:r="http://schemas.openxmlformats.org/officeDocument/2006/relationships" type="rect" r:blip="">
                                <dgm:adjLst/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3"/>
                                        <dgm:param type="dstNode" val="image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4"/>
                                        <dgm:param type="dstNode" val="image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h" for="ch" forName="image4" refType="h" fact="0.8"/>
                                      <dgm:constr type="w" for="ch" forName="image4" refType="h" refFor="ch" refForName="image4"/>
                                      <dgm:constr type="t" for="ch" forName="image4" refType="h" fact="0.1"/>
                                      <dgm:constr type="l" for="ch" forName="image4"/>
                                      <dgm:constr type="w" for="ch" forName="text4" refType="w" fact="0.6"/>
                                      <dgm:constr type="h" for="ch" forName="text4" refType="h" fact="0.8"/>
                                      <dgm:constr type="t" for="ch" forName="text4" refType="w" fact="0.04"/>
                                      <dgm:constr type="l" for="ch" forName="text4" refType="w" fact="0.4"/>
                                    </dgm:constrLst>
                                    <dgm:ruleLst/>
                                    <dgm:layoutNode name="image4">
                                      <dgm:alg type="sp"/>
                                      <dgm:shape xmlns:r="http://schemas.openxmlformats.org/officeDocument/2006/relationships" type="ellipse" r:blip="" blipPhldr="1">
                                        <dgm:adjLst/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revTx">
                                      <dgm:varLst>
                                        <dgm:chPref val="3"/>
                                      </dgm:varLst>
                                      <dgm:alg type="tx">
                                        <dgm:param type="parTxLTRAlign" val="l"/>
                                        <dgm:param type="parTxRTLAlign" val="r"/>
                                      </dgm:alg>
                                      <dgm:shape xmlns:r="http://schemas.openxmlformats.org/officeDocument/2006/relationships" type="rect" r:blip="">
                                        <dgm:adjLst/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emf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185737</xdr:rowOff>
    </xdr:from>
    <xdr:to>
      <xdr:col>13</xdr:col>
      <xdr:colOff>285750</xdr:colOff>
      <xdr:row>15</xdr:row>
      <xdr:rowOff>71437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D7C8056-8791-11E2-FDF1-D42D19ED4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0</xdr:col>
      <xdr:colOff>476250</xdr:colOff>
      <xdr:row>15</xdr:row>
      <xdr:rowOff>19050</xdr:rowOff>
    </xdr:from>
    <xdr:to>
      <xdr:col>9</xdr:col>
      <xdr:colOff>457200</xdr:colOff>
      <xdr:row>21</xdr:row>
      <xdr:rowOff>28575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E235B1C1-0870-4D6E-970B-F949592F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876550"/>
          <a:ext cx="55530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60158</xdr:colOff>
      <xdr:row>9</xdr:row>
      <xdr:rowOff>70184</xdr:rowOff>
    </xdr:from>
    <xdr:to>
      <xdr:col>4</xdr:col>
      <xdr:colOff>578017</xdr:colOff>
      <xdr:row>15</xdr:row>
      <xdr:rowOff>79709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75C8BC34-2C59-40D1-159F-FE0670F55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8" y="2286000"/>
          <a:ext cx="5571122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46</xdr:row>
      <xdr:rowOff>85725</xdr:rowOff>
    </xdr:from>
    <xdr:to>
      <xdr:col>33</xdr:col>
      <xdr:colOff>114300</xdr:colOff>
      <xdr:row>48</xdr:row>
      <xdr:rowOff>57150</xdr:rowOff>
    </xdr:to>
    <xdr:sp macro="" textlink="" fLocksText="0">
      <xdr:nvSpPr>
        <xdr:cNvPr id="2" name="Text 95">
          <a:extLst>
            <a:ext uri="{FF2B5EF4-FFF2-40B4-BE49-F238E27FC236}">
              <a16:creationId xmlns:a16="http://schemas.microsoft.com/office/drawing/2014/main" id="{937C0E5E-307E-40AF-9813-E61D4D30EE5F}"/>
            </a:ext>
          </a:extLst>
        </xdr:cNvPr>
        <xdr:cNvSpPr txBox="1">
          <a:spLocks noChangeArrowheads="1"/>
        </xdr:cNvSpPr>
      </xdr:nvSpPr>
      <xdr:spPr bwMode="auto">
        <a:xfrm>
          <a:off x="2962275" y="9963150"/>
          <a:ext cx="2800350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7360" rIns="0" bIns="27360" anchor="ctr"/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Telah memahami dan mengerti Job Description </a:t>
          </a:r>
        </a:p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tersebut di atas</a:t>
          </a:r>
        </a:p>
      </xdr:txBody>
    </xdr:sp>
    <xdr:clientData/>
  </xdr:twoCellAnchor>
  <xdr:twoCellAnchor>
    <xdr:from>
      <xdr:col>0</xdr:col>
      <xdr:colOff>57150</xdr:colOff>
      <xdr:row>46</xdr:row>
      <xdr:rowOff>85725</xdr:rowOff>
    </xdr:from>
    <xdr:to>
      <xdr:col>16</xdr:col>
      <xdr:colOff>123825</xdr:colOff>
      <xdr:row>48</xdr:row>
      <xdr:rowOff>57150</xdr:rowOff>
    </xdr:to>
    <xdr:sp macro="" textlink="" fLocksText="0">
      <xdr:nvSpPr>
        <xdr:cNvPr id="3" name="Text 96">
          <a:extLst>
            <a:ext uri="{FF2B5EF4-FFF2-40B4-BE49-F238E27FC236}">
              <a16:creationId xmlns:a16="http://schemas.microsoft.com/office/drawing/2014/main" id="{74A12477-C740-46B8-B48C-806DDB279685}"/>
            </a:ext>
          </a:extLst>
        </xdr:cNvPr>
        <xdr:cNvSpPr txBox="1">
          <a:spLocks noChangeArrowheads="1"/>
        </xdr:cNvSpPr>
      </xdr:nvSpPr>
      <xdr:spPr bwMode="auto">
        <a:xfrm>
          <a:off x="57150" y="9963150"/>
          <a:ext cx="2809875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7360" rIns="0" bIns="27360" anchor="ctr"/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Menyetujui dan melimpahkan Job Description</a:t>
          </a:r>
        </a:p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kepada pemegang jabatan</a:t>
          </a:r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31</xdr:col>
      <xdr:colOff>19050</xdr:colOff>
      <xdr:row>57</xdr:row>
      <xdr:rowOff>123825</xdr:rowOff>
    </xdr:to>
    <xdr:pic>
      <xdr:nvPicPr>
        <xdr:cNvPr id="7" name="Gambar 6">
          <a:extLst>
            <a:ext uri="{FF2B5EF4-FFF2-40B4-BE49-F238E27FC236}">
              <a16:creationId xmlns:a16="http://schemas.microsoft.com/office/drawing/2014/main" id="{D26F2E9A-03E2-7D83-040C-D59981EF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562975"/>
          <a:ext cx="55530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3134591</xdr:colOff>
      <xdr:row>23</xdr:row>
      <xdr:rowOff>19050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C4B0ABBB-CA0A-5B3D-D639-B5CAE318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" y="6667500"/>
          <a:ext cx="3134591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95250</xdr:rowOff>
    </xdr:from>
    <xdr:to>
      <xdr:col>4</xdr:col>
      <xdr:colOff>95250</xdr:colOff>
      <xdr:row>17</xdr:row>
      <xdr:rowOff>114300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7CCA3627-4585-403A-B825-974EDC290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57475"/>
          <a:ext cx="4610100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7</xdr:row>
      <xdr:rowOff>95250</xdr:rowOff>
    </xdr:from>
    <xdr:to>
      <xdr:col>4</xdr:col>
      <xdr:colOff>38100</xdr:colOff>
      <xdr:row>18</xdr:row>
      <xdr:rowOff>114300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034C09B-C010-46AE-9672-FCC1507A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552700"/>
          <a:ext cx="4610100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111475</xdr:rowOff>
    </xdr:from>
    <xdr:to>
      <xdr:col>13</xdr:col>
      <xdr:colOff>360456</xdr:colOff>
      <xdr:row>26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DCA98-CA84-4D13-93E4-9CF7C826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92725"/>
          <a:ext cx="8266206" cy="32839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179294</xdr:rowOff>
    </xdr:from>
    <xdr:to>
      <xdr:col>12</xdr:col>
      <xdr:colOff>605117</xdr:colOff>
      <xdr:row>29</xdr:row>
      <xdr:rowOff>89647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7378C3-1C36-421E-902F-AE0BF1BC9503}"/>
            </a:ext>
          </a:extLst>
        </xdr:cNvPr>
        <xdr:cNvSpPr txBox="1"/>
      </xdr:nvSpPr>
      <xdr:spPr>
        <a:xfrm>
          <a:off x="0" y="5799044"/>
          <a:ext cx="7901267" cy="481853"/>
        </a:xfrm>
        <a:prstGeom prst="rect">
          <a:avLst/>
        </a:prstGeom>
        <a:solidFill>
          <a:schemeClr val="tx1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d-ID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𝑃𝑒𝑟𝑐𝑒𝑛𝑡 𝑖𝑛 𝑅𝑎𝑛𝑔𝑒</a:t>
          </a:r>
          <a:r>
            <a:rPr lang="en-US" sz="160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=(</a:t>
          </a:r>
          <a:r>
            <a:rPr lang="id-ID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𝑈𝑝𝑎ℎ</a:t>
          </a:r>
          <a:r>
            <a:rPr lang="en-US" sz="160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−</a:t>
          </a:r>
          <a:r>
            <a:rPr lang="id-ID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𝑀𝑖𝑛𝑖𝑚𝑢𝑚</a:t>
          </a:r>
          <a:r>
            <a:rPr lang="en-US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)/(</a:t>
          </a:r>
          <a:r>
            <a:rPr lang="id-ID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𝑀𝑎𝑥𝑖𝑚𝑢𝑚−𝑀𝑖𝑛𝑖𝑚𝑢𝑚</a:t>
          </a:r>
          <a:r>
            <a:rPr lang="en-US" sz="1600" b="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</a:rPr>
            <a:t>)</a:t>
          </a:r>
          <a:r>
            <a:rPr lang="en-US" sz="160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  <a:ea typeface="Cambria Math"/>
            </a:rPr>
            <a:t>×</a:t>
          </a:r>
          <a:r>
            <a:rPr lang="id-ID" sz="1600" i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Cambria Math"/>
              <a:ea typeface="Cambria Math"/>
            </a:rPr>
            <a:t>100%</a:t>
          </a:r>
          <a:endParaRPr lang="en-US" sz="160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514350</xdr:colOff>
      <xdr:row>29</xdr:row>
      <xdr:rowOff>133350</xdr:rowOff>
    </xdr:from>
    <xdr:to>
      <xdr:col>7</xdr:col>
      <xdr:colOff>561975</xdr:colOff>
      <xdr:row>40</xdr:row>
      <xdr:rowOff>152400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BD9A154D-B0D8-4DAE-8C34-883B33007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324600"/>
          <a:ext cx="4610100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892D-419B-4B99-AC8E-F23AD34B9367}">
  <dimension ref="B3:B5"/>
  <sheetViews>
    <sheetView showGridLines="0" tabSelected="1" workbookViewId="0">
      <selection activeCell="H4" sqref="H4"/>
    </sheetView>
  </sheetViews>
  <sheetFormatPr defaultRowHeight="15" x14ac:dyDescent="0.25"/>
  <sheetData>
    <row r="3" spans="2:2" x14ac:dyDescent="0.25">
      <c r="B3" t="s">
        <v>193</v>
      </c>
    </row>
    <row r="4" spans="2:2" x14ac:dyDescent="0.25">
      <c r="B4" t="s">
        <v>195</v>
      </c>
    </row>
    <row r="5" spans="2:2" x14ac:dyDescent="0.25">
      <c r="B5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DE68-069D-4EB3-9D88-EAB3B88FE48C}">
  <dimension ref="B2:C5"/>
  <sheetViews>
    <sheetView showGridLines="0" workbookViewId="0">
      <selection activeCell="O3" sqref="O3"/>
    </sheetView>
  </sheetViews>
  <sheetFormatPr defaultRowHeight="15" x14ac:dyDescent="0.25"/>
  <cols>
    <col min="3" max="3" width="10.42578125" bestFit="1" customWidth="1"/>
  </cols>
  <sheetData>
    <row r="2" spans="2:3" x14ac:dyDescent="0.25">
      <c r="B2" s="6" t="s">
        <v>13</v>
      </c>
      <c r="C2" s="6" t="s">
        <v>14</v>
      </c>
    </row>
    <row r="3" spans="2:3" x14ac:dyDescent="0.25">
      <c r="B3" s="6">
        <v>1</v>
      </c>
      <c r="C3" s="6" t="s">
        <v>15</v>
      </c>
    </row>
    <row r="4" spans="2:3" x14ac:dyDescent="0.25">
      <c r="B4" s="6">
        <v>2</v>
      </c>
      <c r="C4" s="6" t="s">
        <v>16</v>
      </c>
    </row>
    <row r="5" spans="2:3" x14ac:dyDescent="0.25">
      <c r="B5" s="6">
        <v>3</v>
      </c>
      <c r="C5" s="6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F3BA-9E1D-4003-9DCA-DF365B742922}">
  <dimension ref="A1:C8"/>
  <sheetViews>
    <sheetView showGridLines="0" topLeftCell="A4" zoomScale="95" zoomScaleNormal="95" workbookViewId="0">
      <selection activeCell="B19" sqref="B19"/>
    </sheetView>
  </sheetViews>
  <sheetFormatPr defaultRowHeight="15" x14ac:dyDescent="0.25"/>
  <cols>
    <col min="1" max="1" width="7.85546875" style="79" customWidth="1"/>
    <col min="2" max="2" width="47.140625" style="48" customWidth="1"/>
    <col min="3" max="3" width="11.5703125" style="48" bestFit="1" customWidth="1"/>
    <col min="4" max="29" width="9.140625" style="48"/>
    <col min="30" max="30" width="8.42578125" style="48" customWidth="1"/>
    <col min="31" max="252" width="9.140625" style="48"/>
    <col min="253" max="253" width="4.28515625" style="48" bestFit="1" customWidth="1"/>
    <col min="254" max="254" width="6.28515625" style="48" bestFit="1" customWidth="1"/>
    <col min="255" max="255" width="33" style="48" customWidth="1"/>
    <col min="256" max="256" width="11" style="48" customWidth="1"/>
    <col min="257" max="257" width="16" style="48" bestFit="1" customWidth="1"/>
    <col min="258" max="258" width="13.140625" style="48" customWidth="1"/>
    <col min="259" max="259" width="11.5703125" style="48" bestFit="1" customWidth="1"/>
    <col min="260" max="508" width="9.140625" style="48"/>
    <col min="509" max="509" width="4.28515625" style="48" bestFit="1" customWidth="1"/>
    <col min="510" max="510" width="6.28515625" style="48" bestFit="1" customWidth="1"/>
    <col min="511" max="511" width="33" style="48" customWidth="1"/>
    <col min="512" max="512" width="11" style="48" customWidth="1"/>
    <col min="513" max="513" width="16" style="48" bestFit="1" customWidth="1"/>
    <col min="514" max="514" width="13.140625" style="48" customWidth="1"/>
    <col min="515" max="515" width="11.5703125" style="48" bestFit="1" customWidth="1"/>
    <col min="516" max="764" width="9.140625" style="48"/>
    <col min="765" max="765" width="4.28515625" style="48" bestFit="1" customWidth="1"/>
    <col min="766" max="766" width="6.28515625" style="48" bestFit="1" customWidth="1"/>
    <col min="767" max="767" width="33" style="48" customWidth="1"/>
    <col min="768" max="768" width="11" style="48" customWidth="1"/>
    <col min="769" max="769" width="16" style="48" bestFit="1" customWidth="1"/>
    <col min="770" max="770" width="13.140625" style="48" customWidth="1"/>
    <col min="771" max="771" width="11.5703125" style="48" bestFit="1" customWidth="1"/>
    <col min="772" max="1020" width="9.140625" style="48"/>
    <col min="1021" max="1021" width="4.28515625" style="48" bestFit="1" customWidth="1"/>
    <col min="1022" max="1022" width="6.28515625" style="48" bestFit="1" customWidth="1"/>
    <col min="1023" max="1023" width="33" style="48" customWidth="1"/>
    <col min="1024" max="1024" width="11" style="48" customWidth="1"/>
    <col min="1025" max="1025" width="16" style="48" bestFit="1" customWidth="1"/>
    <col min="1026" max="1026" width="13.140625" style="48" customWidth="1"/>
    <col min="1027" max="1027" width="11.5703125" style="48" bestFit="1" customWidth="1"/>
    <col min="1028" max="1276" width="9.140625" style="48"/>
    <col min="1277" max="1277" width="4.28515625" style="48" bestFit="1" customWidth="1"/>
    <col min="1278" max="1278" width="6.28515625" style="48" bestFit="1" customWidth="1"/>
    <col min="1279" max="1279" width="33" style="48" customWidth="1"/>
    <col min="1280" max="1280" width="11" style="48" customWidth="1"/>
    <col min="1281" max="1281" width="16" style="48" bestFit="1" customWidth="1"/>
    <col min="1282" max="1282" width="13.140625" style="48" customWidth="1"/>
    <col min="1283" max="1283" width="11.5703125" style="48" bestFit="1" customWidth="1"/>
    <col min="1284" max="1532" width="9.140625" style="48"/>
    <col min="1533" max="1533" width="4.28515625" style="48" bestFit="1" customWidth="1"/>
    <col min="1534" max="1534" width="6.28515625" style="48" bestFit="1" customWidth="1"/>
    <col min="1535" max="1535" width="33" style="48" customWidth="1"/>
    <col min="1536" max="1536" width="11" style="48" customWidth="1"/>
    <col min="1537" max="1537" width="16" style="48" bestFit="1" customWidth="1"/>
    <col min="1538" max="1538" width="13.140625" style="48" customWidth="1"/>
    <col min="1539" max="1539" width="11.5703125" style="48" bestFit="1" customWidth="1"/>
    <col min="1540" max="1788" width="9.140625" style="48"/>
    <col min="1789" max="1789" width="4.28515625" style="48" bestFit="1" customWidth="1"/>
    <col min="1790" max="1790" width="6.28515625" style="48" bestFit="1" customWidth="1"/>
    <col min="1791" max="1791" width="33" style="48" customWidth="1"/>
    <col min="1792" max="1792" width="11" style="48" customWidth="1"/>
    <col min="1793" max="1793" width="16" style="48" bestFit="1" customWidth="1"/>
    <col min="1794" max="1794" width="13.140625" style="48" customWidth="1"/>
    <col min="1795" max="1795" width="11.5703125" style="48" bestFit="1" customWidth="1"/>
    <col min="1796" max="2044" width="9.140625" style="48"/>
    <col min="2045" max="2045" width="4.28515625" style="48" bestFit="1" customWidth="1"/>
    <col min="2046" max="2046" width="6.28515625" style="48" bestFit="1" customWidth="1"/>
    <col min="2047" max="2047" width="33" style="48" customWidth="1"/>
    <col min="2048" max="2048" width="11" style="48" customWidth="1"/>
    <col min="2049" max="2049" width="16" style="48" bestFit="1" customWidth="1"/>
    <col min="2050" max="2050" width="13.140625" style="48" customWidth="1"/>
    <col min="2051" max="2051" width="11.5703125" style="48" bestFit="1" customWidth="1"/>
    <col min="2052" max="2300" width="9.140625" style="48"/>
    <col min="2301" max="2301" width="4.28515625" style="48" bestFit="1" customWidth="1"/>
    <col min="2302" max="2302" width="6.28515625" style="48" bestFit="1" customWidth="1"/>
    <col min="2303" max="2303" width="33" style="48" customWidth="1"/>
    <col min="2304" max="2304" width="11" style="48" customWidth="1"/>
    <col min="2305" max="2305" width="16" style="48" bestFit="1" customWidth="1"/>
    <col min="2306" max="2306" width="13.140625" style="48" customWidth="1"/>
    <col min="2307" max="2307" width="11.5703125" style="48" bestFit="1" customWidth="1"/>
    <col min="2308" max="2556" width="9.140625" style="48"/>
    <col min="2557" max="2557" width="4.28515625" style="48" bestFit="1" customWidth="1"/>
    <col min="2558" max="2558" width="6.28515625" style="48" bestFit="1" customWidth="1"/>
    <col min="2559" max="2559" width="33" style="48" customWidth="1"/>
    <col min="2560" max="2560" width="11" style="48" customWidth="1"/>
    <col min="2561" max="2561" width="16" style="48" bestFit="1" customWidth="1"/>
    <col min="2562" max="2562" width="13.140625" style="48" customWidth="1"/>
    <col min="2563" max="2563" width="11.5703125" style="48" bestFit="1" customWidth="1"/>
    <col min="2564" max="2812" width="9.140625" style="48"/>
    <col min="2813" max="2813" width="4.28515625" style="48" bestFit="1" customWidth="1"/>
    <col min="2814" max="2814" width="6.28515625" style="48" bestFit="1" customWidth="1"/>
    <col min="2815" max="2815" width="33" style="48" customWidth="1"/>
    <col min="2816" max="2816" width="11" style="48" customWidth="1"/>
    <col min="2817" max="2817" width="16" style="48" bestFit="1" customWidth="1"/>
    <col min="2818" max="2818" width="13.140625" style="48" customWidth="1"/>
    <col min="2819" max="2819" width="11.5703125" style="48" bestFit="1" customWidth="1"/>
    <col min="2820" max="3068" width="9.140625" style="48"/>
    <col min="3069" max="3069" width="4.28515625" style="48" bestFit="1" customWidth="1"/>
    <col min="3070" max="3070" width="6.28515625" style="48" bestFit="1" customWidth="1"/>
    <col min="3071" max="3071" width="33" style="48" customWidth="1"/>
    <col min="3072" max="3072" width="11" style="48" customWidth="1"/>
    <col min="3073" max="3073" width="16" style="48" bestFit="1" customWidth="1"/>
    <col min="3074" max="3074" width="13.140625" style="48" customWidth="1"/>
    <col min="3075" max="3075" width="11.5703125" style="48" bestFit="1" customWidth="1"/>
    <col min="3076" max="3324" width="9.140625" style="48"/>
    <col min="3325" max="3325" width="4.28515625" style="48" bestFit="1" customWidth="1"/>
    <col min="3326" max="3326" width="6.28515625" style="48" bestFit="1" customWidth="1"/>
    <col min="3327" max="3327" width="33" style="48" customWidth="1"/>
    <col min="3328" max="3328" width="11" style="48" customWidth="1"/>
    <col min="3329" max="3329" width="16" style="48" bestFit="1" customWidth="1"/>
    <col min="3330" max="3330" width="13.140625" style="48" customWidth="1"/>
    <col min="3331" max="3331" width="11.5703125" style="48" bestFit="1" customWidth="1"/>
    <col min="3332" max="3580" width="9.140625" style="48"/>
    <col min="3581" max="3581" width="4.28515625" style="48" bestFit="1" customWidth="1"/>
    <col min="3582" max="3582" width="6.28515625" style="48" bestFit="1" customWidth="1"/>
    <col min="3583" max="3583" width="33" style="48" customWidth="1"/>
    <col min="3584" max="3584" width="11" style="48" customWidth="1"/>
    <col min="3585" max="3585" width="16" style="48" bestFit="1" customWidth="1"/>
    <col min="3586" max="3586" width="13.140625" style="48" customWidth="1"/>
    <col min="3587" max="3587" width="11.5703125" style="48" bestFit="1" customWidth="1"/>
    <col min="3588" max="3836" width="9.140625" style="48"/>
    <col min="3837" max="3837" width="4.28515625" style="48" bestFit="1" customWidth="1"/>
    <col min="3838" max="3838" width="6.28515625" style="48" bestFit="1" customWidth="1"/>
    <col min="3839" max="3839" width="33" style="48" customWidth="1"/>
    <col min="3840" max="3840" width="11" style="48" customWidth="1"/>
    <col min="3841" max="3841" width="16" style="48" bestFit="1" customWidth="1"/>
    <col min="3842" max="3842" width="13.140625" style="48" customWidth="1"/>
    <col min="3843" max="3843" width="11.5703125" style="48" bestFit="1" customWidth="1"/>
    <col min="3844" max="4092" width="9.140625" style="48"/>
    <col min="4093" max="4093" width="4.28515625" style="48" bestFit="1" customWidth="1"/>
    <col min="4094" max="4094" width="6.28515625" style="48" bestFit="1" customWidth="1"/>
    <col min="4095" max="4095" width="33" style="48" customWidth="1"/>
    <col min="4096" max="4096" width="11" style="48" customWidth="1"/>
    <col min="4097" max="4097" width="16" style="48" bestFit="1" customWidth="1"/>
    <col min="4098" max="4098" width="13.140625" style="48" customWidth="1"/>
    <col min="4099" max="4099" width="11.5703125" style="48" bestFit="1" customWidth="1"/>
    <col min="4100" max="4348" width="9.140625" style="48"/>
    <col min="4349" max="4349" width="4.28515625" style="48" bestFit="1" customWidth="1"/>
    <col min="4350" max="4350" width="6.28515625" style="48" bestFit="1" customWidth="1"/>
    <col min="4351" max="4351" width="33" style="48" customWidth="1"/>
    <col min="4352" max="4352" width="11" style="48" customWidth="1"/>
    <col min="4353" max="4353" width="16" style="48" bestFit="1" customWidth="1"/>
    <col min="4354" max="4354" width="13.140625" style="48" customWidth="1"/>
    <col min="4355" max="4355" width="11.5703125" style="48" bestFit="1" customWidth="1"/>
    <col min="4356" max="4604" width="9.140625" style="48"/>
    <col min="4605" max="4605" width="4.28515625" style="48" bestFit="1" customWidth="1"/>
    <col min="4606" max="4606" width="6.28515625" style="48" bestFit="1" customWidth="1"/>
    <col min="4607" max="4607" width="33" style="48" customWidth="1"/>
    <col min="4608" max="4608" width="11" style="48" customWidth="1"/>
    <col min="4609" max="4609" width="16" style="48" bestFit="1" customWidth="1"/>
    <col min="4610" max="4610" width="13.140625" style="48" customWidth="1"/>
    <col min="4611" max="4611" width="11.5703125" style="48" bestFit="1" customWidth="1"/>
    <col min="4612" max="4860" width="9.140625" style="48"/>
    <col min="4861" max="4861" width="4.28515625" style="48" bestFit="1" customWidth="1"/>
    <col min="4862" max="4862" width="6.28515625" style="48" bestFit="1" customWidth="1"/>
    <col min="4863" max="4863" width="33" style="48" customWidth="1"/>
    <col min="4864" max="4864" width="11" style="48" customWidth="1"/>
    <col min="4865" max="4865" width="16" style="48" bestFit="1" customWidth="1"/>
    <col min="4866" max="4866" width="13.140625" style="48" customWidth="1"/>
    <col min="4867" max="4867" width="11.5703125" style="48" bestFit="1" customWidth="1"/>
    <col min="4868" max="5116" width="9.140625" style="48"/>
    <col min="5117" max="5117" width="4.28515625" style="48" bestFit="1" customWidth="1"/>
    <col min="5118" max="5118" width="6.28515625" style="48" bestFit="1" customWidth="1"/>
    <col min="5119" max="5119" width="33" style="48" customWidth="1"/>
    <col min="5120" max="5120" width="11" style="48" customWidth="1"/>
    <col min="5121" max="5121" width="16" style="48" bestFit="1" customWidth="1"/>
    <col min="5122" max="5122" width="13.140625" style="48" customWidth="1"/>
    <col min="5123" max="5123" width="11.5703125" style="48" bestFit="1" customWidth="1"/>
    <col min="5124" max="5372" width="9.140625" style="48"/>
    <col min="5373" max="5373" width="4.28515625" style="48" bestFit="1" customWidth="1"/>
    <col min="5374" max="5374" width="6.28515625" style="48" bestFit="1" customWidth="1"/>
    <col min="5375" max="5375" width="33" style="48" customWidth="1"/>
    <col min="5376" max="5376" width="11" style="48" customWidth="1"/>
    <col min="5377" max="5377" width="16" style="48" bestFit="1" customWidth="1"/>
    <col min="5378" max="5378" width="13.140625" style="48" customWidth="1"/>
    <col min="5379" max="5379" width="11.5703125" style="48" bestFit="1" customWidth="1"/>
    <col min="5380" max="5628" width="9.140625" style="48"/>
    <col min="5629" max="5629" width="4.28515625" style="48" bestFit="1" customWidth="1"/>
    <col min="5630" max="5630" width="6.28515625" style="48" bestFit="1" customWidth="1"/>
    <col min="5631" max="5631" width="33" style="48" customWidth="1"/>
    <col min="5632" max="5632" width="11" style="48" customWidth="1"/>
    <col min="5633" max="5633" width="16" style="48" bestFit="1" customWidth="1"/>
    <col min="5634" max="5634" width="13.140625" style="48" customWidth="1"/>
    <col min="5635" max="5635" width="11.5703125" style="48" bestFit="1" customWidth="1"/>
    <col min="5636" max="5884" width="9.140625" style="48"/>
    <col min="5885" max="5885" width="4.28515625" style="48" bestFit="1" customWidth="1"/>
    <col min="5886" max="5886" width="6.28515625" style="48" bestFit="1" customWidth="1"/>
    <col min="5887" max="5887" width="33" style="48" customWidth="1"/>
    <col min="5888" max="5888" width="11" style="48" customWidth="1"/>
    <col min="5889" max="5889" width="16" style="48" bestFit="1" customWidth="1"/>
    <col min="5890" max="5890" width="13.140625" style="48" customWidth="1"/>
    <col min="5891" max="5891" width="11.5703125" style="48" bestFit="1" customWidth="1"/>
    <col min="5892" max="6140" width="9.140625" style="48"/>
    <col min="6141" max="6141" width="4.28515625" style="48" bestFit="1" customWidth="1"/>
    <col min="6142" max="6142" width="6.28515625" style="48" bestFit="1" customWidth="1"/>
    <col min="6143" max="6143" width="33" style="48" customWidth="1"/>
    <col min="6144" max="6144" width="11" style="48" customWidth="1"/>
    <col min="6145" max="6145" width="16" style="48" bestFit="1" customWidth="1"/>
    <col min="6146" max="6146" width="13.140625" style="48" customWidth="1"/>
    <col min="6147" max="6147" width="11.5703125" style="48" bestFit="1" customWidth="1"/>
    <col min="6148" max="6396" width="9.140625" style="48"/>
    <col min="6397" max="6397" width="4.28515625" style="48" bestFit="1" customWidth="1"/>
    <col min="6398" max="6398" width="6.28515625" style="48" bestFit="1" customWidth="1"/>
    <col min="6399" max="6399" width="33" style="48" customWidth="1"/>
    <col min="6400" max="6400" width="11" style="48" customWidth="1"/>
    <col min="6401" max="6401" width="16" style="48" bestFit="1" customWidth="1"/>
    <col min="6402" max="6402" width="13.140625" style="48" customWidth="1"/>
    <col min="6403" max="6403" width="11.5703125" style="48" bestFit="1" customWidth="1"/>
    <col min="6404" max="6652" width="9.140625" style="48"/>
    <col min="6653" max="6653" width="4.28515625" style="48" bestFit="1" customWidth="1"/>
    <col min="6654" max="6654" width="6.28515625" style="48" bestFit="1" customWidth="1"/>
    <col min="6655" max="6655" width="33" style="48" customWidth="1"/>
    <col min="6656" max="6656" width="11" style="48" customWidth="1"/>
    <col min="6657" max="6657" width="16" style="48" bestFit="1" customWidth="1"/>
    <col min="6658" max="6658" width="13.140625" style="48" customWidth="1"/>
    <col min="6659" max="6659" width="11.5703125" style="48" bestFit="1" customWidth="1"/>
    <col min="6660" max="6908" width="9.140625" style="48"/>
    <col min="6909" max="6909" width="4.28515625" style="48" bestFit="1" customWidth="1"/>
    <col min="6910" max="6910" width="6.28515625" style="48" bestFit="1" customWidth="1"/>
    <col min="6911" max="6911" width="33" style="48" customWidth="1"/>
    <col min="6912" max="6912" width="11" style="48" customWidth="1"/>
    <col min="6913" max="6913" width="16" style="48" bestFit="1" customWidth="1"/>
    <col min="6914" max="6914" width="13.140625" style="48" customWidth="1"/>
    <col min="6915" max="6915" width="11.5703125" style="48" bestFit="1" customWidth="1"/>
    <col min="6916" max="7164" width="9.140625" style="48"/>
    <col min="7165" max="7165" width="4.28515625" style="48" bestFit="1" customWidth="1"/>
    <col min="7166" max="7166" width="6.28515625" style="48" bestFit="1" customWidth="1"/>
    <col min="7167" max="7167" width="33" style="48" customWidth="1"/>
    <col min="7168" max="7168" width="11" style="48" customWidth="1"/>
    <col min="7169" max="7169" width="16" style="48" bestFit="1" customWidth="1"/>
    <col min="7170" max="7170" width="13.140625" style="48" customWidth="1"/>
    <col min="7171" max="7171" width="11.5703125" style="48" bestFit="1" customWidth="1"/>
    <col min="7172" max="7420" width="9.140625" style="48"/>
    <col min="7421" max="7421" width="4.28515625" style="48" bestFit="1" customWidth="1"/>
    <col min="7422" max="7422" width="6.28515625" style="48" bestFit="1" customWidth="1"/>
    <col min="7423" max="7423" width="33" style="48" customWidth="1"/>
    <col min="7424" max="7424" width="11" style="48" customWidth="1"/>
    <col min="7425" max="7425" width="16" style="48" bestFit="1" customWidth="1"/>
    <col min="7426" max="7426" width="13.140625" style="48" customWidth="1"/>
    <col min="7427" max="7427" width="11.5703125" style="48" bestFit="1" customWidth="1"/>
    <col min="7428" max="7676" width="9.140625" style="48"/>
    <col min="7677" max="7677" width="4.28515625" style="48" bestFit="1" customWidth="1"/>
    <col min="7678" max="7678" width="6.28515625" style="48" bestFit="1" customWidth="1"/>
    <col min="7679" max="7679" width="33" style="48" customWidth="1"/>
    <col min="7680" max="7680" width="11" style="48" customWidth="1"/>
    <col min="7681" max="7681" width="16" style="48" bestFit="1" customWidth="1"/>
    <col min="7682" max="7682" width="13.140625" style="48" customWidth="1"/>
    <col min="7683" max="7683" width="11.5703125" style="48" bestFit="1" customWidth="1"/>
    <col min="7684" max="7932" width="9.140625" style="48"/>
    <col min="7933" max="7933" width="4.28515625" style="48" bestFit="1" customWidth="1"/>
    <col min="7934" max="7934" width="6.28515625" style="48" bestFit="1" customWidth="1"/>
    <col min="7935" max="7935" width="33" style="48" customWidth="1"/>
    <col min="7936" max="7936" width="11" style="48" customWidth="1"/>
    <col min="7937" max="7937" width="16" style="48" bestFit="1" customWidth="1"/>
    <col min="7938" max="7938" width="13.140625" style="48" customWidth="1"/>
    <col min="7939" max="7939" width="11.5703125" style="48" bestFit="1" customWidth="1"/>
    <col min="7940" max="8188" width="9.140625" style="48"/>
    <col min="8189" max="8189" width="4.28515625" style="48" bestFit="1" customWidth="1"/>
    <col min="8190" max="8190" width="6.28515625" style="48" bestFit="1" customWidth="1"/>
    <col min="8191" max="8191" width="33" style="48" customWidth="1"/>
    <col min="8192" max="8192" width="11" style="48" customWidth="1"/>
    <col min="8193" max="8193" width="16" style="48" bestFit="1" customWidth="1"/>
    <col min="8194" max="8194" width="13.140625" style="48" customWidth="1"/>
    <col min="8195" max="8195" width="11.5703125" style="48" bestFit="1" customWidth="1"/>
    <col min="8196" max="8444" width="9.140625" style="48"/>
    <col min="8445" max="8445" width="4.28515625" style="48" bestFit="1" customWidth="1"/>
    <col min="8446" max="8446" width="6.28515625" style="48" bestFit="1" customWidth="1"/>
    <col min="8447" max="8447" width="33" style="48" customWidth="1"/>
    <col min="8448" max="8448" width="11" style="48" customWidth="1"/>
    <col min="8449" max="8449" width="16" style="48" bestFit="1" customWidth="1"/>
    <col min="8450" max="8450" width="13.140625" style="48" customWidth="1"/>
    <col min="8451" max="8451" width="11.5703125" style="48" bestFit="1" customWidth="1"/>
    <col min="8452" max="8700" width="9.140625" style="48"/>
    <col min="8701" max="8701" width="4.28515625" style="48" bestFit="1" customWidth="1"/>
    <col min="8702" max="8702" width="6.28515625" style="48" bestFit="1" customWidth="1"/>
    <col min="8703" max="8703" width="33" style="48" customWidth="1"/>
    <col min="8704" max="8704" width="11" style="48" customWidth="1"/>
    <col min="8705" max="8705" width="16" style="48" bestFit="1" customWidth="1"/>
    <col min="8706" max="8706" width="13.140625" style="48" customWidth="1"/>
    <col min="8707" max="8707" width="11.5703125" style="48" bestFit="1" customWidth="1"/>
    <col min="8708" max="8956" width="9.140625" style="48"/>
    <col min="8957" max="8957" width="4.28515625" style="48" bestFit="1" customWidth="1"/>
    <col min="8958" max="8958" width="6.28515625" style="48" bestFit="1" customWidth="1"/>
    <col min="8959" max="8959" width="33" style="48" customWidth="1"/>
    <col min="8960" max="8960" width="11" style="48" customWidth="1"/>
    <col min="8961" max="8961" width="16" style="48" bestFit="1" customWidth="1"/>
    <col min="8962" max="8962" width="13.140625" style="48" customWidth="1"/>
    <col min="8963" max="8963" width="11.5703125" style="48" bestFit="1" customWidth="1"/>
    <col min="8964" max="9212" width="9.140625" style="48"/>
    <col min="9213" max="9213" width="4.28515625" style="48" bestFit="1" customWidth="1"/>
    <col min="9214" max="9214" width="6.28515625" style="48" bestFit="1" customWidth="1"/>
    <col min="9215" max="9215" width="33" style="48" customWidth="1"/>
    <col min="9216" max="9216" width="11" style="48" customWidth="1"/>
    <col min="9217" max="9217" width="16" style="48" bestFit="1" customWidth="1"/>
    <col min="9218" max="9218" width="13.140625" style="48" customWidth="1"/>
    <col min="9219" max="9219" width="11.5703125" style="48" bestFit="1" customWidth="1"/>
    <col min="9220" max="9468" width="9.140625" style="48"/>
    <col min="9469" max="9469" width="4.28515625" style="48" bestFit="1" customWidth="1"/>
    <col min="9470" max="9470" width="6.28515625" style="48" bestFit="1" customWidth="1"/>
    <col min="9471" max="9471" width="33" style="48" customWidth="1"/>
    <col min="9472" max="9472" width="11" style="48" customWidth="1"/>
    <col min="9473" max="9473" width="16" style="48" bestFit="1" customWidth="1"/>
    <col min="9474" max="9474" width="13.140625" style="48" customWidth="1"/>
    <col min="9475" max="9475" width="11.5703125" style="48" bestFit="1" customWidth="1"/>
    <col min="9476" max="9724" width="9.140625" style="48"/>
    <col min="9725" max="9725" width="4.28515625" style="48" bestFit="1" customWidth="1"/>
    <col min="9726" max="9726" width="6.28515625" style="48" bestFit="1" customWidth="1"/>
    <col min="9727" max="9727" width="33" style="48" customWidth="1"/>
    <col min="9728" max="9728" width="11" style="48" customWidth="1"/>
    <col min="9729" max="9729" width="16" style="48" bestFit="1" customWidth="1"/>
    <col min="9730" max="9730" width="13.140625" style="48" customWidth="1"/>
    <col min="9731" max="9731" width="11.5703125" style="48" bestFit="1" customWidth="1"/>
    <col min="9732" max="9980" width="9.140625" style="48"/>
    <col min="9981" max="9981" width="4.28515625" style="48" bestFit="1" customWidth="1"/>
    <col min="9982" max="9982" width="6.28515625" style="48" bestFit="1" customWidth="1"/>
    <col min="9983" max="9983" width="33" style="48" customWidth="1"/>
    <col min="9984" max="9984" width="11" style="48" customWidth="1"/>
    <col min="9985" max="9985" width="16" style="48" bestFit="1" customWidth="1"/>
    <col min="9986" max="9986" width="13.140625" style="48" customWidth="1"/>
    <col min="9987" max="9987" width="11.5703125" style="48" bestFit="1" customWidth="1"/>
    <col min="9988" max="10236" width="9.140625" style="48"/>
    <col min="10237" max="10237" width="4.28515625" style="48" bestFit="1" customWidth="1"/>
    <col min="10238" max="10238" width="6.28515625" style="48" bestFit="1" customWidth="1"/>
    <col min="10239" max="10239" width="33" style="48" customWidth="1"/>
    <col min="10240" max="10240" width="11" style="48" customWidth="1"/>
    <col min="10241" max="10241" width="16" style="48" bestFit="1" customWidth="1"/>
    <col min="10242" max="10242" width="13.140625" style="48" customWidth="1"/>
    <col min="10243" max="10243" width="11.5703125" style="48" bestFit="1" customWidth="1"/>
    <col min="10244" max="10492" width="9.140625" style="48"/>
    <col min="10493" max="10493" width="4.28515625" style="48" bestFit="1" customWidth="1"/>
    <col min="10494" max="10494" width="6.28515625" style="48" bestFit="1" customWidth="1"/>
    <col min="10495" max="10495" width="33" style="48" customWidth="1"/>
    <col min="10496" max="10496" width="11" style="48" customWidth="1"/>
    <col min="10497" max="10497" width="16" style="48" bestFit="1" customWidth="1"/>
    <col min="10498" max="10498" width="13.140625" style="48" customWidth="1"/>
    <col min="10499" max="10499" width="11.5703125" style="48" bestFit="1" customWidth="1"/>
    <col min="10500" max="10748" width="9.140625" style="48"/>
    <col min="10749" max="10749" width="4.28515625" style="48" bestFit="1" customWidth="1"/>
    <col min="10750" max="10750" width="6.28515625" style="48" bestFit="1" customWidth="1"/>
    <col min="10751" max="10751" width="33" style="48" customWidth="1"/>
    <col min="10752" max="10752" width="11" style="48" customWidth="1"/>
    <col min="10753" max="10753" width="16" style="48" bestFit="1" customWidth="1"/>
    <col min="10754" max="10754" width="13.140625" style="48" customWidth="1"/>
    <col min="10755" max="10755" width="11.5703125" style="48" bestFit="1" customWidth="1"/>
    <col min="10756" max="11004" width="9.140625" style="48"/>
    <col min="11005" max="11005" width="4.28515625" style="48" bestFit="1" customWidth="1"/>
    <col min="11006" max="11006" width="6.28515625" style="48" bestFit="1" customWidth="1"/>
    <col min="11007" max="11007" width="33" style="48" customWidth="1"/>
    <col min="11008" max="11008" width="11" style="48" customWidth="1"/>
    <col min="11009" max="11009" width="16" style="48" bestFit="1" customWidth="1"/>
    <col min="11010" max="11010" width="13.140625" style="48" customWidth="1"/>
    <col min="11011" max="11011" width="11.5703125" style="48" bestFit="1" customWidth="1"/>
    <col min="11012" max="11260" width="9.140625" style="48"/>
    <col min="11261" max="11261" width="4.28515625" style="48" bestFit="1" customWidth="1"/>
    <col min="11262" max="11262" width="6.28515625" style="48" bestFit="1" customWidth="1"/>
    <col min="11263" max="11263" width="33" style="48" customWidth="1"/>
    <col min="11264" max="11264" width="11" style="48" customWidth="1"/>
    <col min="11265" max="11265" width="16" style="48" bestFit="1" customWidth="1"/>
    <col min="11266" max="11266" width="13.140625" style="48" customWidth="1"/>
    <col min="11267" max="11267" width="11.5703125" style="48" bestFit="1" customWidth="1"/>
    <col min="11268" max="11516" width="9.140625" style="48"/>
    <col min="11517" max="11517" width="4.28515625" style="48" bestFit="1" customWidth="1"/>
    <col min="11518" max="11518" width="6.28515625" style="48" bestFit="1" customWidth="1"/>
    <col min="11519" max="11519" width="33" style="48" customWidth="1"/>
    <col min="11520" max="11520" width="11" style="48" customWidth="1"/>
    <col min="11521" max="11521" width="16" style="48" bestFit="1" customWidth="1"/>
    <col min="11522" max="11522" width="13.140625" style="48" customWidth="1"/>
    <col min="11523" max="11523" width="11.5703125" style="48" bestFit="1" customWidth="1"/>
    <col min="11524" max="11772" width="9.140625" style="48"/>
    <col min="11773" max="11773" width="4.28515625" style="48" bestFit="1" customWidth="1"/>
    <col min="11774" max="11774" width="6.28515625" style="48" bestFit="1" customWidth="1"/>
    <col min="11775" max="11775" width="33" style="48" customWidth="1"/>
    <col min="11776" max="11776" width="11" style="48" customWidth="1"/>
    <col min="11777" max="11777" width="16" style="48" bestFit="1" customWidth="1"/>
    <col min="11778" max="11778" width="13.140625" style="48" customWidth="1"/>
    <col min="11779" max="11779" width="11.5703125" style="48" bestFit="1" customWidth="1"/>
    <col min="11780" max="12028" width="9.140625" style="48"/>
    <col min="12029" max="12029" width="4.28515625" style="48" bestFit="1" customWidth="1"/>
    <col min="12030" max="12030" width="6.28515625" style="48" bestFit="1" customWidth="1"/>
    <col min="12031" max="12031" width="33" style="48" customWidth="1"/>
    <col min="12032" max="12032" width="11" style="48" customWidth="1"/>
    <col min="12033" max="12033" width="16" style="48" bestFit="1" customWidth="1"/>
    <col min="12034" max="12034" width="13.140625" style="48" customWidth="1"/>
    <col min="12035" max="12035" width="11.5703125" style="48" bestFit="1" customWidth="1"/>
    <col min="12036" max="12284" width="9.140625" style="48"/>
    <col min="12285" max="12285" width="4.28515625" style="48" bestFit="1" customWidth="1"/>
    <col min="12286" max="12286" width="6.28515625" style="48" bestFit="1" customWidth="1"/>
    <col min="12287" max="12287" width="33" style="48" customWidth="1"/>
    <col min="12288" max="12288" width="11" style="48" customWidth="1"/>
    <col min="12289" max="12289" width="16" style="48" bestFit="1" customWidth="1"/>
    <col min="12290" max="12290" width="13.140625" style="48" customWidth="1"/>
    <col min="12291" max="12291" width="11.5703125" style="48" bestFit="1" customWidth="1"/>
    <col min="12292" max="12540" width="9.140625" style="48"/>
    <col min="12541" max="12541" width="4.28515625" style="48" bestFit="1" customWidth="1"/>
    <col min="12542" max="12542" width="6.28515625" style="48" bestFit="1" customWidth="1"/>
    <col min="12543" max="12543" width="33" style="48" customWidth="1"/>
    <col min="12544" max="12544" width="11" style="48" customWidth="1"/>
    <col min="12545" max="12545" width="16" style="48" bestFit="1" customWidth="1"/>
    <col min="12546" max="12546" width="13.140625" style="48" customWidth="1"/>
    <col min="12547" max="12547" width="11.5703125" style="48" bestFit="1" customWidth="1"/>
    <col min="12548" max="12796" width="9.140625" style="48"/>
    <col min="12797" max="12797" width="4.28515625" style="48" bestFit="1" customWidth="1"/>
    <col min="12798" max="12798" width="6.28515625" style="48" bestFit="1" customWidth="1"/>
    <col min="12799" max="12799" width="33" style="48" customWidth="1"/>
    <col min="12800" max="12800" width="11" style="48" customWidth="1"/>
    <col min="12801" max="12801" width="16" style="48" bestFit="1" customWidth="1"/>
    <col min="12802" max="12802" width="13.140625" style="48" customWidth="1"/>
    <col min="12803" max="12803" width="11.5703125" style="48" bestFit="1" customWidth="1"/>
    <col min="12804" max="13052" width="9.140625" style="48"/>
    <col min="13053" max="13053" width="4.28515625" style="48" bestFit="1" customWidth="1"/>
    <col min="13054" max="13054" width="6.28515625" style="48" bestFit="1" customWidth="1"/>
    <col min="13055" max="13055" width="33" style="48" customWidth="1"/>
    <col min="13056" max="13056" width="11" style="48" customWidth="1"/>
    <col min="13057" max="13057" width="16" style="48" bestFit="1" customWidth="1"/>
    <col min="13058" max="13058" width="13.140625" style="48" customWidth="1"/>
    <col min="13059" max="13059" width="11.5703125" style="48" bestFit="1" customWidth="1"/>
    <col min="13060" max="13308" width="9.140625" style="48"/>
    <col min="13309" max="13309" width="4.28515625" style="48" bestFit="1" customWidth="1"/>
    <col min="13310" max="13310" width="6.28515625" style="48" bestFit="1" customWidth="1"/>
    <col min="13311" max="13311" width="33" style="48" customWidth="1"/>
    <col min="13312" max="13312" width="11" style="48" customWidth="1"/>
    <col min="13313" max="13313" width="16" style="48" bestFit="1" customWidth="1"/>
    <col min="13314" max="13314" width="13.140625" style="48" customWidth="1"/>
    <col min="13315" max="13315" width="11.5703125" style="48" bestFit="1" customWidth="1"/>
    <col min="13316" max="13564" width="9.140625" style="48"/>
    <col min="13565" max="13565" width="4.28515625" style="48" bestFit="1" customWidth="1"/>
    <col min="13566" max="13566" width="6.28515625" style="48" bestFit="1" customWidth="1"/>
    <col min="13567" max="13567" width="33" style="48" customWidth="1"/>
    <col min="13568" max="13568" width="11" style="48" customWidth="1"/>
    <col min="13569" max="13569" width="16" style="48" bestFit="1" customWidth="1"/>
    <col min="13570" max="13570" width="13.140625" style="48" customWidth="1"/>
    <col min="13571" max="13571" width="11.5703125" style="48" bestFit="1" customWidth="1"/>
    <col min="13572" max="13820" width="9.140625" style="48"/>
    <col min="13821" max="13821" width="4.28515625" style="48" bestFit="1" customWidth="1"/>
    <col min="13822" max="13822" width="6.28515625" style="48" bestFit="1" customWidth="1"/>
    <col min="13823" max="13823" width="33" style="48" customWidth="1"/>
    <col min="13824" max="13824" width="11" style="48" customWidth="1"/>
    <col min="13825" max="13825" width="16" style="48" bestFit="1" customWidth="1"/>
    <col min="13826" max="13826" width="13.140625" style="48" customWidth="1"/>
    <col min="13827" max="13827" width="11.5703125" style="48" bestFit="1" customWidth="1"/>
    <col min="13828" max="14076" width="9.140625" style="48"/>
    <col min="14077" max="14077" width="4.28515625" style="48" bestFit="1" customWidth="1"/>
    <col min="14078" max="14078" width="6.28515625" style="48" bestFit="1" customWidth="1"/>
    <col min="14079" max="14079" width="33" style="48" customWidth="1"/>
    <col min="14080" max="14080" width="11" style="48" customWidth="1"/>
    <col min="14081" max="14081" width="16" style="48" bestFit="1" customWidth="1"/>
    <col min="14082" max="14082" width="13.140625" style="48" customWidth="1"/>
    <col min="14083" max="14083" width="11.5703125" style="48" bestFit="1" customWidth="1"/>
    <col min="14084" max="14332" width="9.140625" style="48"/>
    <col min="14333" max="14333" width="4.28515625" style="48" bestFit="1" customWidth="1"/>
    <col min="14334" max="14334" width="6.28515625" style="48" bestFit="1" customWidth="1"/>
    <col min="14335" max="14335" width="33" style="48" customWidth="1"/>
    <col min="14336" max="14336" width="11" style="48" customWidth="1"/>
    <col min="14337" max="14337" width="16" style="48" bestFit="1" customWidth="1"/>
    <col min="14338" max="14338" width="13.140625" style="48" customWidth="1"/>
    <col min="14339" max="14339" width="11.5703125" style="48" bestFit="1" customWidth="1"/>
    <col min="14340" max="14588" width="9.140625" style="48"/>
    <col min="14589" max="14589" width="4.28515625" style="48" bestFit="1" customWidth="1"/>
    <col min="14590" max="14590" width="6.28515625" style="48" bestFit="1" customWidth="1"/>
    <col min="14591" max="14591" width="33" style="48" customWidth="1"/>
    <col min="14592" max="14592" width="11" style="48" customWidth="1"/>
    <col min="14593" max="14593" width="16" style="48" bestFit="1" customWidth="1"/>
    <col min="14594" max="14594" width="13.140625" style="48" customWidth="1"/>
    <col min="14595" max="14595" width="11.5703125" style="48" bestFit="1" customWidth="1"/>
    <col min="14596" max="14844" width="9.140625" style="48"/>
    <col min="14845" max="14845" width="4.28515625" style="48" bestFit="1" customWidth="1"/>
    <col min="14846" max="14846" width="6.28515625" style="48" bestFit="1" customWidth="1"/>
    <col min="14847" max="14847" width="33" style="48" customWidth="1"/>
    <col min="14848" max="14848" width="11" style="48" customWidth="1"/>
    <col min="14849" max="14849" width="16" style="48" bestFit="1" customWidth="1"/>
    <col min="14850" max="14850" width="13.140625" style="48" customWidth="1"/>
    <col min="14851" max="14851" width="11.5703125" style="48" bestFit="1" customWidth="1"/>
    <col min="14852" max="15100" width="9.140625" style="48"/>
    <col min="15101" max="15101" width="4.28515625" style="48" bestFit="1" customWidth="1"/>
    <col min="15102" max="15102" width="6.28515625" style="48" bestFit="1" customWidth="1"/>
    <col min="15103" max="15103" width="33" style="48" customWidth="1"/>
    <col min="15104" max="15104" width="11" style="48" customWidth="1"/>
    <col min="15105" max="15105" width="16" style="48" bestFit="1" customWidth="1"/>
    <col min="15106" max="15106" width="13.140625" style="48" customWidth="1"/>
    <col min="15107" max="15107" width="11.5703125" style="48" bestFit="1" customWidth="1"/>
    <col min="15108" max="15356" width="9.140625" style="48"/>
    <col min="15357" max="15357" width="4.28515625" style="48" bestFit="1" customWidth="1"/>
    <col min="15358" max="15358" width="6.28515625" style="48" bestFit="1" customWidth="1"/>
    <col min="15359" max="15359" width="33" style="48" customWidth="1"/>
    <col min="15360" max="15360" width="11" style="48" customWidth="1"/>
    <col min="15361" max="15361" width="16" style="48" bestFit="1" customWidth="1"/>
    <col min="15362" max="15362" width="13.140625" style="48" customWidth="1"/>
    <col min="15363" max="15363" width="11.5703125" style="48" bestFit="1" customWidth="1"/>
    <col min="15364" max="15612" width="9.140625" style="48"/>
    <col min="15613" max="15613" width="4.28515625" style="48" bestFit="1" customWidth="1"/>
    <col min="15614" max="15614" width="6.28515625" style="48" bestFit="1" customWidth="1"/>
    <col min="15615" max="15615" width="33" style="48" customWidth="1"/>
    <col min="15616" max="15616" width="11" style="48" customWidth="1"/>
    <col min="15617" max="15617" width="16" style="48" bestFit="1" customWidth="1"/>
    <col min="15618" max="15618" width="13.140625" style="48" customWidth="1"/>
    <col min="15619" max="15619" width="11.5703125" style="48" bestFit="1" customWidth="1"/>
    <col min="15620" max="15868" width="9.140625" style="48"/>
    <col min="15869" max="15869" width="4.28515625" style="48" bestFit="1" customWidth="1"/>
    <col min="15870" max="15870" width="6.28515625" style="48" bestFit="1" customWidth="1"/>
    <col min="15871" max="15871" width="33" style="48" customWidth="1"/>
    <col min="15872" max="15872" width="11" style="48" customWidth="1"/>
    <col min="15873" max="15873" width="16" style="48" bestFit="1" customWidth="1"/>
    <col min="15874" max="15874" width="13.140625" style="48" customWidth="1"/>
    <col min="15875" max="15875" width="11.5703125" style="48" bestFit="1" customWidth="1"/>
    <col min="15876" max="16124" width="9.140625" style="48"/>
    <col min="16125" max="16125" width="4.28515625" style="48" bestFit="1" customWidth="1"/>
    <col min="16126" max="16126" width="6.28515625" style="48" bestFit="1" customWidth="1"/>
    <col min="16127" max="16127" width="33" style="48" customWidth="1"/>
    <col min="16128" max="16128" width="11" style="48" customWidth="1"/>
    <col min="16129" max="16129" width="16" style="48" bestFit="1" customWidth="1"/>
    <col min="16130" max="16130" width="13.140625" style="48" customWidth="1"/>
    <col min="16131" max="16131" width="11.5703125" style="48" bestFit="1" customWidth="1"/>
    <col min="16132" max="16384" width="9.140625" style="48"/>
  </cols>
  <sheetData>
    <row r="1" spans="1:3" ht="14.45" hidden="1" customHeight="1" x14ac:dyDescent="0.25"/>
    <row r="2" spans="1:3" ht="14.45" hidden="1" customHeight="1" x14ac:dyDescent="0.25"/>
    <row r="3" spans="1:3" ht="21" hidden="1" customHeight="1" x14ac:dyDescent="0.35">
      <c r="A3" s="80"/>
    </row>
    <row r="4" spans="1:3" s="83" customFormat="1" ht="24" customHeight="1" x14ac:dyDescent="0.25">
      <c r="A4" s="81" t="s">
        <v>177</v>
      </c>
      <c r="B4" s="82" t="s">
        <v>76</v>
      </c>
    </row>
    <row r="5" spans="1:3" s="83" customFormat="1" ht="27" customHeight="1" x14ac:dyDescent="0.25">
      <c r="A5" s="84"/>
      <c r="B5" s="85"/>
    </row>
    <row r="6" spans="1:3" s="89" customFormat="1" ht="36" customHeight="1" x14ac:dyDescent="0.25">
      <c r="A6" s="86">
        <v>1</v>
      </c>
      <c r="B6" s="87" t="s">
        <v>15</v>
      </c>
      <c r="C6" s="88"/>
    </row>
    <row r="7" spans="1:3" s="89" customFormat="1" ht="36" customHeight="1" x14ac:dyDescent="0.25">
      <c r="A7" s="86">
        <v>2</v>
      </c>
      <c r="B7" s="87" t="s">
        <v>16</v>
      </c>
      <c r="C7" s="88"/>
    </row>
    <row r="8" spans="1:3" s="89" customFormat="1" ht="36" customHeight="1" x14ac:dyDescent="0.25">
      <c r="A8" s="86">
        <v>3</v>
      </c>
      <c r="B8" s="87" t="s">
        <v>17</v>
      </c>
      <c r="C8" s="8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625E-C363-48E5-A00E-D87CC1F52AD0}">
  <dimension ref="A1:AH49"/>
  <sheetViews>
    <sheetView showGridLines="0" zoomScale="80" zoomScaleNormal="80" workbookViewId="0">
      <selection activeCell="AU10" sqref="AU10"/>
    </sheetView>
  </sheetViews>
  <sheetFormatPr defaultColWidth="2.5703125" defaultRowHeight="13.5" x14ac:dyDescent="0.25"/>
  <cols>
    <col min="1" max="21" width="2.5703125" style="61"/>
    <col min="22" max="22" width="8.42578125" style="61" bestFit="1" customWidth="1"/>
    <col min="23" max="31" width="2.5703125" style="61"/>
    <col min="32" max="32" width="2.42578125" style="61" customWidth="1"/>
    <col min="33" max="33" width="2.5703125" style="61"/>
    <col min="34" max="34" width="5.28515625" style="61" customWidth="1"/>
    <col min="35" max="287" width="2.5703125" style="61"/>
    <col min="288" max="288" width="2.42578125" style="61" customWidth="1"/>
    <col min="289" max="289" width="2.5703125" style="61"/>
    <col min="290" max="290" width="5.28515625" style="61" customWidth="1"/>
    <col min="291" max="543" width="2.5703125" style="61"/>
    <col min="544" max="544" width="2.42578125" style="61" customWidth="1"/>
    <col min="545" max="545" width="2.5703125" style="61"/>
    <col min="546" max="546" width="5.28515625" style="61" customWidth="1"/>
    <col min="547" max="799" width="2.5703125" style="61"/>
    <col min="800" max="800" width="2.42578125" style="61" customWidth="1"/>
    <col min="801" max="801" width="2.5703125" style="61"/>
    <col min="802" max="802" width="5.28515625" style="61" customWidth="1"/>
    <col min="803" max="1055" width="2.5703125" style="61"/>
    <col min="1056" max="1056" width="2.42578125" style="61" customWidth="1"/>
    <col min="1057" max="1057" width="2.5703125" style="61"/>
    <col min="1058" max="1058" width="5.28515625" style="61" customWidth="1"/>
    <col min="1059" max="1311" width="2.5703125" style="61"/>
    <col min="1312" max="1312" width="2.42578125" style="61" customWidth="1"/>
    <col min="1313" max="1313" width="2.5703125" style="61"/>
    <col min="1314" max="1314" width="5.28515625" style="61" customWidth="1"/>
    <col min="1315" max="1567" width="2.5703125" style="61"/>
    <col min="1568" max="1568" width="2.42578125" style="61" customWidth="1"/>
    <col min="1569" max="1569" width="2.5703125" style="61"/>
    <col min="1570" max="1570" width="5.28515625" style="61" customWidth="1"/>
    <col min="1571" max="1823" width="2.5703125" style="61"/>
    <col min="1824" max="1824" width="2.42578125" style="61" customWidth="1"/>
    <col min="1825" max="1825" width="2.5703125" style="61"/>
    <col min="1826" max="1826" width="5.28515625" style="61" customWidth="1"/>
    <col min="1827" max="2079" width="2.5703125" style="61"/>
    <col min="2080" max="2080" width="2.42578125" style="61" customWidth="1"/>
    <col min="2081" max="2081" width="2.5703125" style="61"/>
    <col min="2082" max="2082" width="5.28515625" style="61" customWidth="1"/>
    <col min="2083" max="2335" width="2.5703125" style="61"/>
    <col min="2336" max="2336" width="2.42578125" style="61" customWidth="1"/>
    <col min="2337" max="2337" width="2.5703125" style="61"/>
    <col min="2338" max="2338" width="5.28515625" style="61" customWidth="1"/>
    <col min="2339" max="2591" width="2.5703125" style="61"/>
    <col min="2592" max="2592" width="2.42578125" style="61" customWidth="1"/>
    <col min="2593" max="2593" width="2.5703125" style="61"/>
    <col min="2594" max="2594" width="5.28515625" style="61" customWidth="1"/>
    <col min="2595" max="2847" width="2.5703125" style="61"/>
    <col min="2848" max="2848" width="2.42578125" style="61" customWidth="1"/>
    <col min="2849" max="2849" width="2.5703125" style="61"/>
    <col min="2850" max="2850" width="5.28515625" style="61" customWidth="1"/>
    <col min="2851" max="3103" width="2.5703125" style="61"/>
    <col min="3104" max="3104" width="2.42578125" style="61" customWidth="1"/>
    <col min="3105" max="3105" width="2.5703125" style="61"/>
    <col min="3106" max="3106" width="5.28515625" style="61" customWidth="1"/>
    <col min="3107" max="3359" width="2.5703125" style="61"/>
    <col min="3360" max="3360" width="2.42578125" style="61" customWidth="1"/>
    <col min="3361" max="3361" width="2.5703125" style="61"/>
    <col min="3362" max="3362" width="5.28515625" style="61" customWidth="1"/>
    <col min="3363" max="3615" width="2.5703125" style="61"/>
    <col min="3616" max="3616" width="2.42578125" style="61" customWidth="1"/>
    <col min="3617" max="3617" width="2.5703125" style="61"/>
    <col min="3618" max="3618" width="5.28515625" style="61" customWidth="1"/>
    <col min="3619" max="3871" width="2.5703125" style="61"/>
    <col min="3872" max="3872" width="2.42578125" style="61" customWidth="1"/>
    <col min="3873" max="3873" width="2.5703125" style="61"/>
    <col min="3874" max="3874" width="5.28515625" style="61" customWidth="1"/>
    <col min="3875" max="4127" width="2.5703125" style="61"/>
    <col min="4128" max="4128" width="2.42578125" style="61" customWidth="1"/>
    <col min="4129" max="4129" width="2.5703125" style="61"/>
    <col min="4130" max="4130" width="5.28515625" style="61" customWidth="1"/>
    <col min="4131" max="4383" width="2.5703125" style="61"/>
    <col min="4384" max="4384" width="2.42578125" style="61" customWidth="1"/>
    <col min="4385" max="4385" width="2.5703125" style="61"/>
    <col min="4386" max="4386" width="5.28515625" style="61" customWidth="1"/>
    <col min="4387" max="4639" width="2.5703125" style="61"/>
    <col min="4640" max="4640" width="2.42578125" style="61" customWidth="1"/>
    <col min="4641" max="4641" width="2.5703125" style="61"/>
    <col min="4642" max="4642" width="5.28515625" style="61" customWidth="1"/>
    <col min="4643" max="4895" width="2.5703125" style="61"/>
    <col min="4896" max="4896" width="2.42578125" style="61" customWidth="1"/>
    <col min="4897" max="4897" width="2.5703125" style="61"/>
    <col min="4898" max="4898" width="5.28515625" style="61" customWidth="1"/>
    <col min="4899" max="5151" width="2.5703125" style="61"/>
    <col min="5152" max="5152" width="2.42578125" style="61" customWidth="1"/>
    <col min="5153" max="5153" width="2.5703125" style="61"/>
    <col min="5154" max="5154" width="5.28515625" style="61" customWidth="1"/>
    <col min="5155" max="5407" width="2.5703125" style="61"/>
    <col min="5408" max="5408" width="2.42578125" style="61" customWidth="1"/>
    <col min="5409" max="5409" width="2.5703125" style="61"/>
    <col min="5410" max="5410" width="5.28515625" style="61" customWidth="1"/>
    <col min="5411" max="5663" width="2.5703125" style="61"/>
    <col min="5664" max="5664" width="2.42578125" style="61" customWidth="1"/>
    <col min="5665" max="5665" width="2.5703125" style="61"/>
    <col min="5666" max="5666" width="5.28515625" style="61" customWidth="1"/>
    <col min="5667" max="5919" width="2.5703125" style="61"/>
    <col min="5920" max="5920" width="2.42578125" style="61" customWidth="1"/>
    <col min="5921" max="5921" width="2.5703125" style="61"/>
    <col min="5922" max="5922" width="5.28515625" style="61" customWidth="1"/>
    <col min="5923" max="6175" width="2.5703125" style="61"/>
    <col min="6176" max="6176" width="2.42578125" style="61" customWidth="1"/>
    <col min="6177" max="6177" width="2.5703125" style="61"/>
    <col min="6178" max="6178" width="5.28515625" style="61" customWidth="1"/>
    <col min="6179" max="6431" width="2.5703125" style="61"/>
    <col min="6432" max="6432" width="2.42578125" style="61" customWidth="1"/>
    <col min="6433" max="6433" width="2.5703125" style="61"/>
    <col min="6434" max="6434" width="5.28515625" style="61" customWidth="1"/>
    <col min="6435" max="6687" width="2.5703125" style="61"/>
    <col min="6688" max="6688" width="2.42578125" style="61" customWidth="1"/>
    <col min="6689" max="6689" width="2.5703125" style="61"/>
    <col min="6690" max="6690" width="5.28515625" style="61" customWidth="1"/>
    <col min="6691" max="6943" width="2.5703125" style="61"/>
    <col min="6944" max="6944" width="2.42578125" style="61" customWidth="1"/>
    <col min="6945" max="6945" width="2.5703125" style="61"/>
    <col min="6946" max="6946" width="5.28515625" style="61" customWidth="1"/>
    <col min="6947" max="7199" width="2.5703125" style="61"/>
    <col min="7200" max="7200" width="2.42578125" style="61" customWidth="1"/>
    <col min="7201" max="7201" width="2.5703125" style="61"/>
    <col min="7202" max="7202" width="5.28515625" style="61" customWidth="1"/>
    <col min="7203" max="7455" width="2.5703125" style="61"/>
    <col min="7456" max="7456" width="2.42578125" style="61" customWidth="1"/>
    <col min="7457" max="7457" width="2.5703125" style="61"/>
    <col min="7458" max="7458" width="5.28515625" style="61" customWidth="1"/>
    <col min="7459" max="7711" width="2.5703125" style="61"/>
    <col min="7712" max="7712" width="2.42578125" style="61" customWidth="1"/>
    <col min="7713" max="7713" width="2.5703125" style="61"/>
    <col min="7714" max="7714" width="5.28515625" style="61" customWidth="1"/>
    <col min="7715" max="7967" width="2.5703125" style="61"/>
    <col min="7968" max="7968" width="2.42578125" style="61" customWidth="1"/>
    <col min="7969" max="7969" width="2.5703125" style="61"/>
    <col min="7970" max="7970" width="5.28515625" style="61" customWidth="1"/>
    <col min="7971" max="8223" width="2.5703125" style="61"/>
    <col min="8224" max="8224" width="2.42578125" style="61" customWidth="1"/>
    <col min="8225" max="8225" width="2.5703125" style="61"/>
    <col min="8226" max="8226" width="5.28515625" style="61" customWidth="1"/>
    <col min="8227" max="8479" width="2.5703125" style="61"/>
    <col min="8480" max="8480" width="2.42578125" style="61" customWidth="1"/>
    <col min="8481" max="8481" width="2.5703125" style="61"/>
    <col min="8482" max="8482" width="5.28515625" style="61" customWidth="1"/>
    <col min="8483" max="8735" width="2.5703125" style="61"/>
    <col min="8736" max="8736" width="2.42578125" style="61" customWidth="1"/>
    <col min="8737" max="8737" width="2.5703125" style="61"/>
    <col min="8738" max="8738" width="5.28515625" style="61" customWidth="1"/>
    <col min="8739" max="8991" width="2.5703125" style="61"/>
    <col min="8992" max="8992" width="2.42578125" style="61" customWidth="1"/>
    <col min="8993" max="8993" width="2.5703125" style="61"/>
    <col min="8994" max="8994" width="5.28515625" style="61" customWidth="1"/>
    <col min="8995" max="9247" width="2.5703125" style="61"/>
    <col min="9248" max="9248" width="2.42578125" style="61" customWidth="1"/>
    <col min="9249" max="9249" width="2.5703125" style="61"/>
    <col min="9250" max="9250" width="5.28515625" style="61" customWidth="1"/>
    <col min="9251" max="9503" width="2.5703125" style="61"/>
    <col min="9504" max="9504" width="2.42578125" style="61" customWidth="1"/>
    <col min="9505" max="9505" width="2.5703125" style="61"/>
    <col min="9506" max="9506" width="5.28515625" style="61" customWidth="1"/>
    <col min="9507" max="9759" width="2.5703125" style="61"/>
    <col min="9760" max="9760" width="2.42578125" style="61" customWidth="1"/>
    <col min="9761" max="9761" width="2.5703125" style="61"/>
    <col min="9762" max="9762" width="5.28515625" style="61" customWidth="1"/>
    <col min="9763" max="10015" width="2.5703125" style="61"/>
    <col min="10016" max="10016" width="2.42578125" style="61" customWidth="1"/>
    <col min="10017" max="10017" width="2.5703125" style="61"/>
    <col min="10018" max="10018" width="5.28515625" style="61" customWidth="1"/>
    <col min="10019" max="10271" width="2.5703125" style="61"/>
    <col min="10272" max="10272" width="2.42578125" style="61" customWidth="1"/>
    <col min="10273" max="10273" width="2.5703125" style="61"/>
    <col min="10274" max="10274" width="5.28515625" style="61" customWidth="1"/>
    <col min="10275" max="10527" width="2.5703125" style="61"/>
    <col min="10528" max="10528" width="2.42578125" style="61" customWidth="1"/>
    <col min="10529" max="10529" width="2.5703125" style="61"/>
    <col min="10530" max="10530" width="5.28515625" style="61" customWidth="1"/>
    <col min="10531" max="10783" width="2.5703125" style="61"/>
    <col min="10784" max="10784" width="2.42578125" style="61" customWidth="1"/>
    <col min="10785" max="10785" width="2.5703125" style="61"/>
    <col min="10786" max="10786" width="5.28515625" style="61" customWidth="1"/>
    <col min="10787" max="11039" width="2.5703125" style="61"/>
    <col min="11040" max="11040" width="2.42578125" style="61" customWidth="1"/>
    <col min="11041" max="11041" width="2.5703125" style="61"/>
    <col min="11042" max="11042" width="5.28515625" style="61" customWidth="1"/>
    <col min="11043" max="11295" width="2.5703125" style="61"/>
    <col min="11296" max="11296" width="2.42578125" style="61" customWidth="1"/>
    <col min="11297" max="11297" width="2.5703125" style="61"/>
    <col min="11298" max="11298" width="5.28515625" style="61" customWidth="1"/>
    <col min="11299" max="11551" width="2.5703125" style="61"/>
    <col min="11552" max="11552" width="2.42578125" style="61" customWidth="1"/>
    <col min="11553" max="11553" width="2.5703125" style="61"/>
    <col min="11554" max="11554" width="5.28515625" style="61" customWidth="1"/>
    <col min="11555" max="11807" width="2.5703125" style="61"/>
    <col min="11808" max="11808" width="2.42578125" style="61" customWidth="1"/>
    <col min="11809" max="11809" width="2.5703125" style="61"/>
    <col min="11810" max="11810" width="5.28515625" style="61" customWidth="1"/>
    <col min="11811" max="12063" width="2.5703125" style="61"/>
    <col min="12064" max="12064" width="2.42578125" style="61" customWidth="1"/>
    <col min="12065" max="12065" width="2.5703125" style="61"/>
    <col min="12066" max="12066" width="5.28515625" style="61" customWidth="1"/>
    <col min="12067" max="12319" width="2.5703125" style="61"/>
    <col min="12320" max="12320" width="2.42578125" style="61" customWidth="1"/>
    <col min="12321" max="12321" width="2.5703125" style="61"/>
    <col min="12322" max="12322" width="5.28515625" style="61" customWidth="1"/>
    <col min="12323" max="12575" width="2.5703125" style="61"/>
    <col min="12576" max="12576" width="2.42578125" style="61" customWidth="1"/>
    <col min="12577" max="12577" width="2.5703125" style="61"/>
    <col min="12578" max="12578" width="5.28515625" style="61" customWidth="1"/>
    <col min="12579" max="12831" width="2.5703125" style="61"/>
    <col min="12832" max="12832" width="2.42578125" style="61" customWidth="1"/>
    <col min="12833" max="12833" width="2.5703125" style="61"/>
    <col min="12834" max="12834" width="5.28515625" style="61" customWidth="1"/>
    <col min="12835" max="13087" width="2.5703125" style="61"/>
    <col min="13088" max="13088" width="2.42578125" style="61" customWidth="1"/>
    <col min="13089" max="13089" width="2.5703125" style="61"/>
    <col min="13090" max="13090" width="5.28515625" style="61" customWidth="1"/>
    <col min="13091" max="13343" width="2.5703125" style="61"/>
    <col min="13344" max="13344" width="2.42578125" style="61" customWidth="1"/>
    <col min="13345" max="13345" width="2.5703125" style="61"/>
    <col min="13346" max="13346" width="5.28515625" style="61" customWidth="1"/>
    <col min="13347" max="13599" width="2.5703125" style="61"/>
    <col min="13600" max="13600" width="2.42578125" style="61" customWidth="1"/>
    <col min="13601" max="13601" width="2.5703125" style="61"/>
    <col min="13602" max="13602" width="5.28515625" style="61" customWidth="1"/>
    <col min="13603" max="13855" width="2.5703125" style="61"/>
    <col min="13856" max="13856" width="2.42578125" style="61" customWidth="1"/>
    <col min="13857" max="13857" width="2.5703125" style="61"/>
    <col min="13858" max="13858" width="5.28515625" style="61" customWidth="1"/>
    <col min="13859" max="14111" width="2.5703125" style="61"/>
    <col min="14112" max="14112" width="2.42578125" style="61" customWidth="1"/>
    <col min="14113" max="14113" width="2.5703125" style="61"/>
    <col min="14114" max="14114" width="5.28515625" style="61" customWidth="1"/>
    <col min="14115" max="14367" width="2.5703125" style="61"/>
    <col min="14368" max="14368" width="2.42578125" style="61" customWidth="1"/>
    <col min="14369" max="14369" width="2.5703125" style="61"/>
    <col min="14370" max="14370" width="5.28515625" style="61" customWidth="1"/>
    <col min="14371" max="14623" width="2.5703125" style="61"/>
    <col min="14624" max="14624" width="2.42578125" style="61" customWidth="1"/>
    <col min="14625" max="14625" width="2.5703125" style="61"/>
    <col min="14626" max="14626" width="5.28515625" style="61" customWidth="1"/>
    <col min="14627" max="14879" width="2.5703125" style="61"/>
    <col min="14880" max="14880" width="2.42578125" style="61" customWidth="1"/>
    <col min="14881" max="14881" width="2.5703125" style="61"/>
    <col min="14882" max="14882" width="5.28515625" style="61" customWidth="1"/>
    <col min="14883" max="15135" width="2.5703125" style="61"/>
    <col min="15136" max="15136" width="2.42578125" style="61" customWidth="1"/>
    <col min="15137" max="15137" width="2.5703125" style="61"/>
    <col min="15138" max="15138" width="5.28515625" style="61" customWidth="1"/>
    <col min="15139" max="15391" width="2.5703125" style="61"/>
    <col min="15392" max="15392" width="2.42578125" style="61" customWidth="1"/>
    <col min="15393" max="15393" width="2.5703125" style="61"/>
    <col min="15394" max="15394" width="5.28515625" style="61" customWidth="1"/>
    <col min="15395" max="15647" width="2.5703125" style="61"/>
    <col min="15648" max="15648" width="2.42578125" style="61" customWidth="1"/>
    <col min="15649" max="15649" width="2.5703125" style="61"/>
    <col min="15650" max="15650" width="5.28515625" style="61" customWidth="1"/>
    <col min="15651" max="15903" width="2.5703125" style="61"/>
    <col min="15904" max="15904" width="2.42578125" style="61" customWidth="1"/>
    <col min="15905" max="15905" width="2.5703125" style="61"/>
    <col min="15906" max="15906" width="5.28515625" style="61" customWidth="1"/>
    <col min="15907" max="16159" width="2.5703125" style="61"/>
    <col min="16160" max="16160" width="2.42578125" style="61" customWidth="1"/>
    <col min="16161" max="16161" width="2.5703125" style="61"/>
    <col min="16162" max="16162" width="5.28515625" style="61" customWidth="1"/>
    <col min="16163" max="16384" width="2.5703125" style="61"/>
  </cols>
  <sheetData>
    <row r="1" spans="1:34" s="58" customFormat="1" ht="12" customHeight="1" x14ac:dyDescent="0.25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7"/>
    </row>
    <row r="2" spans="1:34" s="58" customFormat="1" ht="12" customHeight="1" x14ac:dyDescent="0.25">
      <c r="A2" s="59"/>
      <c r="AH2" s="60"/>
    </row>
    <row r="3" spans="1:34" s="58" customFormat="1" ht="12" customHeight="1" x14ac:dyDescent="0.25">
      <c r="A3" s="59"/>
      <c r="Y3" s="105" t="s">
        <v>143</v>
      </c>
      <c r="Z3" s="105"/>
      <c r="AA3" s="105"/>
      <c r="AB3" s="105"/>
      <c r="AC3" s="105"/>
      <c r="AD3" s="105"/>
      <c r="AE3" s="105"/>
      <c r="AF3" s="105"/>
      <c r="AG3" s="105"/>
      <c r="AH3" s="105"/>
    </row>
    <row r="4" spans="1:34" s="58" customFormat="1" ht="12" customHeight="1" x14ac:dyDescent="0.25">
      <c r="A4" s="59"/>
      <c r="Y4" s="105"/>
      <c r="Z4" s="105"/>
      <c r="AA4" s="105"/>
      <c r="AB4" s="105"/>
      <c r="AC4" s="105"/>
      <c r="AD4" s="105"/>
      <c r="AE4" s="105"/>
      <c r="AF4" s="105"/>
      <c r="AG4" s="105"/>
      <c r="AH4" s="105"/>
    </row>
    <row r="5" spans="1:34" s="58" customFormat="1" ht="5.25" customHeight="1" x14ac:dyDescent="0.25">
      <c r="A5" s="59"/>
      <c r="AH5" s="60"/>
    </row>
    <row r="6" spans="1:34" s="58" customFormat="1" ht="12" customHeight="1" x14ac:dyDescent="0.25">
      <c r="A6" s="59"/>
      <c r="E6" s="58" t="s">
        <v>144</v>
      </c>
      <c r="T6" s="61"/>
      <c r="U6" s="58" t="s">
        <v>145</v>
      </c>
      <c r="W6" s="61"/>
      <c r="Y6" s="58" t="s">
        <v>146</v>
      </c>
      <c r="AH6" s="60"/>
    </row>
    <row r="7" spans="1:34" s="58" customFormat="1" ht="12" customHeight="1" x14ac:dyDescent="0.25">
      <c r="A7" s="59"/>
      <c r="E7" s="58" t="s">
        <v>147</v>
      </c>
      <c r="I7" s="58" t="s">
        <v>148</v>
      </c>
      <c r="T7" s="61"/>
      <c r="U7" s="58" t="s">
        <v>149</v>
      </c>
      <c r="W7" s="61"/>
      <c r="Y7" s="58" t="s">
        <v>150</v>
      </c>
      <c r="AH7" s="60"/>
    </row>
    <row r="8" spans="1:34" s="58" customFormat="1" ht="5.25" customHeight="1" thickBot="1" x14ac:dyDescent="0.3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4"/>
    </row>
    <row r="9" spans="1:34" s="58" customFormat="1" ht="14.25" thickTop="1" x14ac:dyDescent="0.25">
      <c r="A9" s="59"/>
      <c r="AH9" s="60"/>
    </row>
    <row r="10" spans="1:34" s="58" customFormat="1" x14ac:dyDescent="0.25">
      <c r="A10" s="59"/>
      <c r="B10" s="58" t="s">
        <v>151</v>
      </c>
      <c r="P10" s="58" t="s">
        <v>168</v>
      </c>
      <c r="AH10" s="60"/>
    </row>
    <row r="11" spans="1:34" s="58" customFormat="1" x14ac:dyDescent="0.25">
      <c r="A11" s="59"/>
      <c r="AH11" s="60"/>
    </row>
    <row r="12" spans="1:34" s="58" customFormat="1" x14ac:dyDescent="0.25">
      <c r="A12" s="59"/>
      <c r="B12" s="58" t="s">
        <v>152</v>
      </c>
      <c r="P12" s="58" t="s">
        <v>167</v>
      </c>
      <c r="AH12" s="60"/>
    </row>
    <row r="13" spans="1:34" s="58" customFormat="1" x14ac:dyDescent="0.25">
      <c r="A13" s="59"/>
      <c r="AH13" s="60"/>
    </row>
    <row r="14" spans="1:34" s="58" customFormat="1" x14ac:dyDescent="0.25">
      <c r="A14" s="59"/>
      <c r="B14" s="58" t="s">
        <v>153</v>
      </c>
      <c r="P14" s="58" t="s">
        <v>170</v>
      </c>
      <c r="AH14" s="60"/>
    </row>
    <row r="15" spans="1:34" s="58" customFormat="1" x14ac:dyDescent="0.25">
      <c r="A15" s="59"/>
      <c r="P15" s="58" t="s">
        <v>171</v>
      </c>
      <c r="AH15" s="60"/>
    </row>
    <row r="16" spans="1:34" s="58" customFormat="1" x14ac:dyDescent="0.25">
      <c r="A16" s="59"/>
      <c r="P16" s="58" t="s">
        <v>154</v>
      </c>
      <c r="AH16" s="60"/>
    </row>
    <row r="17" spans="1:34" s="58" customFormat="1" x14ac:dyDescent="0.25">
      <c r="A17" s="59"/>
      <c r="AH17" s="60"/>
    </row>
    <row r="18" spans="1:34" s="58" customFormat="1" x14ac:dyDescent="0.25">
      <c r="A18" s="59"/>
      <c r="B18" s="58" t="s">
        <v>155</v>
      </c>
      <c r="P18" s="58" t="s">
        <v>156</v>
      </c>
      <c r="U18" s="58" t="s">
        <v>157</v>
      </c>
      <c r="V18" s="58" t="s">
        <v>158</v>
      </c>
      <c r="AH18" s="60"/>
    </row>
    <row r="19" spans="1:34" s="58" customFormat="1" x14ac:dyDescent="0.25">
      <c r="A19" s="59"/>
      <c r="AH19" s="60"/>
    </row>
    <row r="20" spans="1:34" s="58" customFormat="1" x14ac:dyDescent="0.25">
      <c r="A20" s="59"/>
      <c r="P20" s="58" t="s">
        <v>159</v>
      </c>
      <c r="U20" s="58" t="s">
        <v>157</v>
      </c>
      <c r="V20" s="58" t="s">
        <v>172</v>
      </c>
      <c r="AH20" s="60"/>
    </row>
    <row r="21" spans="1:34" s="58" customFormat="1" x14ac:dyDescent="0.25">
      <c r="A21" s="59"/>
      <c r="AH21" s="60"/>
    </row>
    <row r="22" spans="1:34" s="58" customFormat="1" x14ac:dyDescent="0.2">
      <c r="A22" s="59"/>
      <c r="V22" s="65"/>
      <c r="AH22" s="60"/>
    </row>
    <row r="23" spans="1:34" s="58" customFormat="1" x14ac:dyDescent="0.25">
      <c r="A23" s="59"/>
      <c r="AH23" s="60"/>
    </row>
    <row r="24" spans="1:34" s="58" customFormat="1" x14ac:dyDescent="0.25">
      <c r="A24" s="59"/>
      <c r="B24" s="58" t="s">
        <v>160</v>
      </c>
      <c r="P24" s="58" t="s">
        <v>157</v>
      </c>
      <c r="Q24" s="58" t="s">
        <v>173</v>
      </c>
      <c r="AH24" s="60"/>
    </row>
    <row r="25" spans="1:34" s="58" customFormat="1" x14ac:dyDescent="0.25">
      <c r="A25" s="59"/>
      <c r="AH25" s="60"/>
    </row>
    <row r="26" spans="1:34" s="58" customFormat="1" x14ac:dyDescent="0.25">
      <c r="A26" s="59"/>
      <c r="AH26" s="60"/>
    </row>
    <row r="27" spans="1:34" s="58" customFormat="1" x14ac:dyDescent="0.25">
      <c r="A27" s="59"/>
      <c r="B27" s="58" t="s">
        <v>161</v>
      </c>
      <c r="P27" s="58" t="s">
        <v>157</v>
      </c>
      <c r="Q27" s="58" t="s">
        <v>174</v>
      </c>
      <c r="AH27" s="60"/>
    </row>
    <row r="28" spans="1:34" s="58" customFormat="1" x14ac:dyDescent="0.25">
      <c r="A28" s="59"/>
      <c r="AH28" s="60"/>
    </row>
    <row r="29" spans="1:34" s="58" customFormat="1" x14ac:dyDescent="0.25">
      <c r="A29" s="59"/>
      <c r="B29" s="58" t="s">
        <v>162</v>
      </c>
      <c r="P29" s="58" t="s">
        <v>169</v>
      </c>
      <c r="Q29" s="58" t="s">
        <v>175</v>
      </c>
      <c r="AH29" s="60"/>
    </row>
    <row r="30" spans="1:34" s="58" customFormat="1" x14ac:dyDescent="0.25">
      <c r="A30" s="59"/>
      <c r="Q30" s="58" t="s">
        <v>176</v>
      </c>
      <c r="AH30" s="60"/>
    </row>
    <row r="31" spans="1:34" s="58" customFormat="1" ht="13.5" customHeight="1" x14ac:dyDescent="0.25">
      <c r="A31" s="59"/>
      <c r="AH31" s="60"/>
    </row>
    <row r="32" spans="1:34" s="58" customFormat="1" ht="13.5" customHeight="1" x14ac:dyDescent="0.25">
      <c r="A32" s="59"/>
      <c r="AH32" s="60"/>
    </row>
    <row r="33" spans="1:34" s="58" customFormat="1" ht="13.5" customHeight="1" x14ac:dyDescent="0.25">
      <c r="A33" s="59"/>
      <c r="AH33" s="60"/>
    </row>
    <row r="34" spans="1:34" s="58" customFormat="1" ht="13.5" customHeight="1" x14ac:dyDescent="0.25">
      <c r="A34" s="59"/>
      <c r="AH34" s="60"/>
    </row>
    <row r="35" spans="1:34" s="58" customFormat="1" ht="13.5" customHeight="1" x14ac:dyDescent="0.25">
      <c r="A35" s="59"/>
      <c r="AH35" s="60"/>
    </row>
    <row r="36" spans="1:34" s="58" customFormat="1" x14ac:dyDescent="0.25">
      <c r="A36" s="59"/>
      <c r="AH36" s="60"/>
    </row>
    <row r="37" spans="1:34" s="58" customFormat="1" x14ac:dyDescent="0.25">
      <c r="A37" s="59"/>
      <c r="AH37" s="60"/>
    </row>
    <row r="38" spans="1:34" s="58" customFormat="1" x14ac:dyDescent="0.25">
      <c r="A38" s="59"/>
      <c r="AH38" s="60"/>
    </row>
    <row r="39" spans="1:34" s="58" customFormat="1" x14ac:dyDescent="0.25">
      <c r="A39" s="59"/>
      <c r="AH39" s="60"/>
    </row>
    <row r="40" spans="1:34" s="58" customFormat="1" x14ac:dyDescent="0.25">
      <c r="A40" s="59"/>
      <c r="AH40" s="60"/>
    </row>
    <row r="41" spans="1:34" s="58" customFormat="1" x14ac:dyDescent="0.25">
      <c r="A41" s="59"/>
      <c r="AH41" s="60"/>
    </row>
    <row r="42" spans="1:34" s="58" customFormat="1" ht="14.25" thickBot="1" x14ac:dyDescent="0.3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8"/>
    </row>
    <row r="43" spans="1:34" s="58" customFormat="1" x14ac:dyDescent="0.25">
      <c r="A43" s="59" t="s">
        <v>163</v>
      </c>
      <c r="R43" s="69" t="s">
        <v>164</v>
      </c>
      <c r="Y43" s="70"/>
      <c r="Z43" s="70"/>
      <c r="AA43" s="70"/>
      <c r="AB43" s="70"/>
      <c r="AC43" s="70"/>
      <c r="AD43" s="70"/>
      <c r="AE43" s="70"/>
      <c r="AH43" s="60"/>
    </row>
    <row r="44" spans="1:34" s="58" customFormat="1" ht="15.75" x14ac:dyDescent="0.25">
      <c r="A44" s="71"/>
      <c r="B44" s="72"/>
      <c r="C44" s="61"/>
      <c r="R44" s="69"/>
      <c r="Y44" s="70"/>
      <c r="Z44" s="70"/>
      <c r="AA44" s="70"/>
      <c r="AB44" s="70"/>
      <c r="AC44" s="70"/>
      <c r="AD44" s="70"/>
      <c r="AE44" s="70"/>
      <c r="AH44" s="60"/>
    </row>
    <row r="45" spans="1:34" s="58" customFormat="1" ht="15.75" x14ac:dyDescent="0.25">
      <c r="A45" s="71"/>
      <c r="B45" s="72"/>
      <c r="C45" s="61"/>
      <c r="R45" s="69"/>
      <c r="Y45" s="70"/>
      <c r="Z45" s="70"/>
      <c r="AA45" s="70"/>
      <c r="AB45" s="70"/>
      <c r="AC45" s="70"/>
      <c r="AD45" s="70"/>
      <c r="AE45" s="70"/>
      <c r="AH45" s="60"/>
    </row>
    <row r="46" spans="1:34" s="58" customFormat="1" ht="15.75" x14ac:dyDescent="0.25">
      <c r="A46" s="71"/>
      <c r="B46" s="72"/>
      <c r="C46" s="61"/>
      <c r="R46" s="69"/>
      <c r="Y46" s="70"/>
      <c r="Z46" s="70"/>
      <c r="AA46" s="70"/>
      <c r="AB46" s="70"/>
      <c r="AC46" s="70"/>
      <c r="AD46" s="70"/>
      <c r="AE46" s="70"/>
      <c r="AH46" s="60"/>
    </row>
    <row r="47" spans="1:34" s="58" customFormat="1" x14ac:dyDescent="0.25">
      <c r="A47" s="73" t="s">
        <v>165</v>
      </c>
      <c r="B47" s="74"/>
      <c r="C47" s="75"/>
      <c r="D47" s="74" t="s">
        <v>157</v>
      </c>
      <c r="E47" s="74"/>
      <c r="F47" s="74"/>
      <c r="G47" s="74"/>
      <c r="H47" s="74"/>
      <c r="I47" s="74"/>
      <c r="J47" s="74"/>
      <c r="K47" s="74" t="s">
        <v>166</v>
      </c>
      <c r="L47" s="74"/>
      <c r="M47" s="74"/>
      <c r="N47" s="74" t="s">
        <v>157</v>
      </c>
      <c r="O47" s="74"/>
      <c r="P47" s="74"/>
      <c r="Q47" s="74"/>
      <c r="R47" s="76" t="s">
        <v>165</v>
      </c>
      <c r="S47" s="74"/>
      <c r="T47" s="75"/>
      <c r="U47" s="74" t="s">
        <v>157</v>
      </c>
      <c r="V47" s="74"/>
      <c r="W47" s="74"/>
      <c r="X47" s="74"/>
      <c r="Y47" s="74"/>
      <c r="Z47" s="74"/>
      <c r="AA47" s="74"/>
      <c r="AB47" s="74" t="s">
        <v>166</v>
      </c>
      <c r="AC47" s="74"/>
      <c r="AD47" s="74"/>
      <c r="AE47" s="74" t="s">
        <v>157</v>
      </c>
      <c r="AF47" s="74"/>
      <c r="AG47" s="74"/>
      <c r="AH47" s="77"/>
    </row>
    <row r="48" spans="1:34" s="58" customFormat="1" ht="15.75" x14ac:dyDescent="0.25">
      <c r="A48" s="71"/>
      <c r="B48" s="72"/>
      <c r="C48" s="61"/>
      <c r="R48" s="69"/>
      <c r="Y48" s="70"/>
      <c r="Z48" s="70"/>
      <c r="AA48" s="70"/>
      <c r="AB48" s="70"/>
      <c r="AC48" s="70"/>
      <c r="AD48" s="70"/>
      <c r="AE48" s="70"/>
      <c r="AH48" s="60"/>
    </row>
    <row r="49" spans="1:34" s="58" customFormat="1" ht="14.25" thickBot="1" x14ac:dyDescent="0.3">
      <c r="A49" s="66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78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8"/>
    </row>
  </sheetData>
  <sheetProtection selectLockedCells="1" selectUnlockedCells="1"/>
  <mergeCells count="1">
    <mergeCell ref="Y3:AH4"/>
  </mergeCells>
  <printOptions horizontalCentered="1"/>
  <pageMargins left="0.53749999999999998" right="0.34027777777777779" top="0.59027777777777779" bottom="0.39374999999999999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F6A9-ACDD-47F3-9DB2-E8562C6947F9}">
  <dimension ref="A2:I16"/>
  <sheetViews>
    <sheetView showGridLines="0" workbookViewId="0">
      <selection activeCell="L3" sqref="L3"/>
    </sheetView>
  </sheetViews>
  <sheetFormatPr defaultRowHeight="15" x14ac:dyDescent="0.25"/>
  <cols>
    <col min="1" max="1" width="9.140625" style="1"/>
    <col min="2" max="2" width="20.7109375" style="1" bestFit="1" customWidth="1"/>
    <col min="3" max="3" width="6.5703125" style="1" bestFit="1" customWidth="1"/>
    <col min="4" max="4" width="17.5703125" style="1" bestFit="1" customWidth="1"/>
    <col min="5" max="5" width="7" style="1" customWidth="1"/>
    <col min="6" max="6" width="3" style="1" bestFit="1" customWidth="1"/>
    <col min="7" max="8" width="4" style="1" bestFit="1" customWidth="1"/>
    <col min="9" max="9" width="5" style="1" bestFit="1" customWidth="1"/>
  </cols>
  <sheetData>
    <row r="2" spans="2:9" x14ac:dyDescent="0.25">
      <c r="B2" s="106" t="s">
        <v>63</v>
      </c>
      <c r="C2" s="106"/>
      <c r="D2" s="106"/>
      <c r="E2" s="106"/>
      <c r="F2" s="106"/>
      <c r="G2" s="106"/>
      <c r="H2" s="106"/>
      <c r="I2" s="106"/>
    </row>
    <row r="3" spans="2:9" ht="39" customHeight="1" x14ac:dyDescent="0.25">
      <c r="B3" s="106" t="s">
        <v>19</v>
      </c>
      <c r="C3" s="106" t="s">
        <v>67</v>
      </c>
      <c r="D3" s="107" t="s">
        <v>69</v>
      </c>
      <c r="E3" s="106" t="s">
        <v>72</v>
      </c>
      <c r="F3" s="106"/>
      <c r="G3" s="106"/>
      <c r="H3" s="106"/>
      <c r="I3" s="106"/>
    </row>
    <row r="4" spans="2:9" x14ac:dyDescent="0.25">
      <c r="B4" s="106"/>
      <c r="C4" s="106"/>
      <c r="D4" s="107"/>
      <c r="E4" s="6">
        <v>1</v>
      </c>
      <c r="F4" s="6">
        <v>2</v>
      </c>
      <c r="G4" s="6">
        <v>3</v>
      </c>
      <c r="H4" s="6">
        <v>4</v>
      </c>
      <c r="I4" s="6">
        <v>5</v>
      </c>
    </row>
    <row r="5" spans="2:9" x14ac:dyDescent="0.25">
      <c r="B5" s="106" t="s">
        <v>64</v>
      </c>
      <c r="C5" s="111">
        <v>300</v>
      </c>
      <c r="D5" s="7" t="s">
        <v>21</v>
      </c>
      <c r="E5" s="6">
        <v>10</v>
      </c>
      <c r="F5" s="6">
        <v>30</v>
      </c>
      <c r="G5" s="6">
        <v>60</v>
      </c>
      <c r="H5" s="6">
        <v>90</v>
      </c>
      <c r="I5" s="6">
        <v>120</v>
      </c>
    </row>
    <row r="6" spans="2:9" x14ac:dyDescent="0.25">
      <c r="B6" s="106"/>
      <c r="C6" s="112"/>
      <c r="D6" s="7" t="s">
        <v>28</v>
      </c>
      <c r="E6" s="6">
        <v>0</v>
      </c>
      <c r="F6" s="6">
        <v>20</v>
      </c>
      <c r="G6" s="6">
        <v>60</v>
      </c>
      <c r="H6" s="6">
        <v>130</v>
      </c>
      <c r="I6" s="6">
        <v>180</v>
      </c>
    </row>
    <row r="7" spans="2:9" x14ac:dyDescent="0.25">
      <c r="B7" s="106" t="s">
        <v>65</v>
      </c>
      <c r="C7" s="111">
        <v>120</v>
      </c>
      <c r="D7" s="6" t="s">
        <v>70</v>
      </c>
      <c r="E7" s="6">
        <v>10</v>
      </c>
      <c r="F7" s="6">
        <v>10</v>
      </c>
      <c r="G7" s="6">
        <v>20</v>
      </c>
      <c r="H7" s="6">
        <v>30</v>
      </c>
      <c r="I7" s="6">
        <v>40</v>
      </c>
    </row>
    <row r="8" spans="2:9" x14ac:dyDescent="0.25">
      <c r="B8" s="106"/>
      <c r="C8" s="112"/>
      <c r="D8" s="6" t="s">
        <v>71</v>
      </c>
      <c r="E8" s="6">
        <v>10</v>
      </c>
      <c r="F8" s="6">
        <v>20</v>
      </c>
      <c r="G8" s="6">
        <v>40</v>
      </c>
      <c r="H8" s="6">
        <v>60</v>
      </c>
      <c r="I8" s="6">
        <v>80</v>
      </c>
    </row>
    <row r="9" spans="2:9" x14ac:dyDescent="0.25">
      <c r="B9" s="106" t="s">
        <v>66</v>
      </c>
      <c r="C9" s="111">
        <v>480</v>
      </c>
      <c r="D9" s="6" t="s">
        <v>49</v>
      </c>
      <c r="E9" s="6">
        <v>20</v>
      </c>
      <c r="F9" s="6">
        <v>40</v>
      </c>
      <c r="G9" s="6">
        <v>120</v>
      </c>
      <c r="H9" s="6">
        <v>160</v>
      </c>
      <c r="I9" s="6">
        <v>240</v>
      </c>
    </row>
    <row r="10" spans="2:9" x14ac:dyDescent="0.25">
      <c r="B10" s="106"/>
      <c r="C10" s="112"/>
      <c r="D10" s="6" t="s">
        <v>50</v>
      </c>
      <c r="E10" s="6">
        <v>20</v>
      </c>
      <c r="F10" s="6">
        <v>40</v>
      </c>
      <c r="G10" s="6">
        <v>120</v>
      </c>
      <c r="H10" s="6">
        <v>160</v>
      </c>
      <c r="I10" s="6">
        <v>240</v>
      </c>
    </row>
    <row r="11" spans="2:9" x14ac:dyDescent="0.25">
      <c r="B11" s="106" t="s">
        <v>114</v>
      </c>
      <c r="C11" s="111">
        <v>100</v>
      </c>
      <c r="D11" s="6" t="s">
        <v>36</v>
      </c>
      <c r="E11" s="6">
        <v>0</v>
      </c>
      <c r="F11" s="6">
        <v>10</v>
      </c>
      <c r="G11" s="6">
        <v>20</v>
      </c>
      <c r="H11" s="6">
        <v>30</v>
      </c>
      <c r="I11" s="6">
        <v>40</v>
      </c>
    </row>
    <row r="12" spans="2:9" x14ac:dyDescent="0.25">
      <c r="B12" s="106"/>
      <c r="C12" s="112"/>
      <c r="D12" s="6" t="s">
        <v>42</v>
      </c>
      <c r="E12" s="6">
        <v>0</v>
      </c>
      <c r="F12" s="6">
        <v>10</v>
      </c>
      <c r="G12" s="6">
        <v>20</v>
      </c>
      <c r="H12" s="6">
        <v>40</v>
      </c>
      <c r="I12" s="6">
        <v>60</v>
      </c>
    </row>
    <row r="13" spans="2:9" x14ac:dyDescent="0.25">
      <c r="B13" s="6" t="s">
        <v>68</v>
      </c>
      <c r="C13" s="6">
        <v>1000</v>
      </c>
      <c r="D13" s="8"/>
      <c r="E13" s="6">
        <v>50</v>
      </c>
      <c r="F13" s="113"/>
      <c r="G13" s="114"/>
      <c r="H13" s="115"/>
      <c r="I13" s="6">
        <v>1000</v>
      </c>
    </row>
    <row r="15" spans="2:9" x14ac:dyDescent="0.25">
      <c r="B15" s="108" t="s">
        <v>18</v>
      </c>
      <c r="C15" s="109"/>
      <c r="D15" s="109"/>
      <c r="E15" s="109"/>
      <c r="F15" s="109"/>
      <c r="G15" s="109"/>
      <c r="H15" s="109"/>
      <c r="I15" s="110"/>
    </row>
    <row r="16" spans="2:9" x14ac:dyDescent="0.25">
      <c r="B16" s="106" t="s">
        <v>73</v>
      </c>
      <c r="C16" s="106"/>
      <c r="D16" s="106"/>
      <c r="E16" s="106"/>
      <c r="F16" s="106"/>
      <c r="G16" s="106"/>
      <c r="H16" s="106"/>
      <c r="I16" s="106"/>
    </row>
  </sheetData>
  <mergeCells count="16">
    <mergeCell ref="B5:B6"/>
    <mergeCell ref="B7:B8"/>
    <mergeCell ref="B9:B10"/>
    <mergeCell ref="B11:B12"/>
    <mergeCell ref="C5:C6"/>
    <mergeCell ref="B16:I16"/>
    <mergeCell ref="B15:I15"/>
    <mergeCell ref="C11:C12"/>
    <mergeCell ref="C9:C10"/>
    <mergeCell ref="C7:C8"/>
    <mergeCell ref="F13:H13"/>
    <mergeCell ref="B2:I2"/>
    <mergeCell ref="D3:D4"/>
    <mergeCell ref="E3:I3"/>
    <mergeCell ref="C3:C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ECEA-3B3D-42D7-91B5-D1B46255487A}">
  <dimension ref="B2:E60"/>
  <sheetViews>
    <sheetView showGridLines="0" zoomScale="70" zoomScaleNormal="70" workbookViewId="0">
      <selection activeCell="H6" sqref="H6"/>
    </sheetView>
  </sheetViews>
  <sheetFormatPr defaultRowHeight="15" x14ac:dyDescent="0.25"/>
  <cols>
    <col min="2" max="2" width="32.7109375" style="1" bestFit="1" customWidth="1"/>
    <col min="3" max="3" width="11.85546875" style="4" customWidth="1"/>
    <col min="4" max="4" width="71.28515625" style="4" bestFit="1" customWidth="1"/>
    <col min="5" max="5" width="22.140625" style="4" customWidth="1"/>
    <col min="6" max="6" width="13.140625" customWidth="1"/>
  </cols>
  <sheetData>
    <row r="2" spans="2:5" x14ac:dyDescent="0.25">
      <c r="B2" s="116" t="s">
        <v>34</v>
      </c>
      <c r="C2" s="116"/>
      <c r="D2" s="116"/>
      <c r="E2" s="116"/>
    </row>
    <row r="3" spans="2:5" x14ac:dyDescent="0.25">
      <c r="B3" s="6" t="s">
        <v>19</v>
      </c>
      <c r="C3" s="5" t="s">
        <v>20</v>
      </c>
      <c r="D3" s="5" t="s">
        <v>22</v>
      </c>
      <c r="E3" s="5" t="s">
        <v>27</v>
      </c>
    </row>
    <row r="4" spans="2:5" x14ac:dyDescent="0.25">
      <c r="B4" s="106" t="s">
        <v>21</v>
      </c>
      <c r="C4" s="5">
        <v>1</v>
      </c>
      <c r="D4" s="5" t="s">
        <v>23</v>
      </c>
      <c r="E4" s="5">
        <v>10</v>
      </c>
    </row>
    <row r="5" spans="2:5" x14ac:dyDescent="0.25">
      <c r="B5" s="106"/>
      <c r="C5" s="5">
        <v>2</v>
      </c>
      <c r="D5" s="5" t="s">
        <v>24</v>
      </c>
      <c r="E5" s="5">
        <v>30</v>
      </c>
    </row>
    <row r="6" spans="2:5" x14ac:dyDescent="0.25">
      <c r="B6" s="106"/>
      <c r="C6" s="5">
        <v>3</v>
      </c>
      <c r="D6" s="5" t="s">
        <v>25</v>
      </c>
      <c r="E6" s="5">
        <v>60</v>
      </c>
    </row>
    <row r="7" spans="2:5" x14ac:dyDescent="0.25">
      <c r="B7" s="106"/>
      <c r="C7" s="5">
        <v>4</v>
      </c>
      <c r="D7" s="5" t="s">
        <v>26</v>
      </c>
      <c r="E7" s="5">
        <v>90</v>
      </c>
    </row>
    <row r="8" spans="2:5" x14ac:dyDescent="0.25">
      <c r="B8" s="106"/>
      <c r="C8" s="5">
        <v>5</v>
      </c>
      <c r="D8" s="5" t="s">
        <v>106</v>
      </c>
      <c r="E8" s="5">
        <v>120</v>
      </c>
    </row>
    <row r="9" spans="2:5" x14ac:dyDescent="0.25">
      <c r="B9" s="117" t="s">
        <v>28</v>
      </c>
      <c r="C9" s="5">
        <v>1</v>
      </c>
      <c r="D9" s="5" t="s">
        <v>29</v>
      </c>
      <c r="E9" s="5">
        <v>0</v>
      </c>
    </row>
    <row r="10" spans="2:5" x14ac:dyDescent="0.25">
      <c r="B10" s="118"/>
      <c r="C10" s="5">
        <v>2</v>
      </c>
      <c r="D10" s="5" t="s">
        <v>30</v>
      </c>
      <c r="E10" s="5">
        <v>20</v>
      </c>
    </row>
    <row r="11" spans="2:5" x14ac:dyDescent="0.25">
      <c r="B11" s="118"/>
      <c r="C11" s="5">
        <v>3</v>
      </c>
      <c r="D11" s="5" t="s">
        <v>31</v>
      </c>
      <c r="E11" s="5">
        <v>60</v>
      </c>
    </row>
    <row r="12" spans="2:5" x14ac:dyDescent="0.25">
      <c r="B12" s="118"/>
      <c r="C12" s="5">
        <v>4</v>
      </c>
      <c r="D12" s="5" t="s">
        <v>32</v>
      </c>
      <c r="E12" s="5">
        <v>130</v>
      </c>
    </row>
    <row r="13" spans="2:5" x14ac:dyDescent="0.25">
      <c r="B13" s="119"/>
      <c r="C13" s="5">
        <v>5</v>
      </c>
      <c r="D13" s="5" t="s">
        <v>33</v>
      </c>
      <c r="E13" s="5">
        <v>180</v>
      </c>
    </row>
    <row r="15" spans="2:5" x14ac:dyDescent="0.25">
      <c r="B15" s="121" t="s">
        <v>125</v>
      </c>
      <c r="C15" s="122"/>
      <c r="D15" s="122"/>
      <c r="E15" s="123"/>
    </row>
    <row r="16" spans="2:5" x14ac:dyDescent="0.25">
      <c r="B16" s="6" t="s">
        <v>19</v>
      </c>
      <c r="C16" s="5" t="s">
        <v>20</v>
      </c>
      <c r="D16" s="5" t="s">
        <v>22</v>
      </c>
      <c r="E16" s="5" t="s">
        <v>27</v>
      </c>
    </row>
    <row r="17" spans="2:5" x14ac:dyDescent="0.25">
      <c r="B17" s="111" t="s">
        <v>70</v>
      </c>
      <c r="C17" s="5">
        <v>1</v>
      </c>
      <c r="D17" s="31" t="s">
        <v>115</v>
      </c>
      <c r="E17" s="5">
        <v>10</v>
      </c>
    </row>
    <row r="18" spans="2:5" x14ac:dyDescent="0.25">
      <c r="B18" s="120"/>
      <c r="C18" s="5">
        <v>2</v>
      </c>
      <c r="D18" s="31" t="s">
        <v>116</v>
      </c>
      <c r="E18" s="5">
        <v>10</v>
      </c>
    </row>
    <row r="19" spans="2:5" x14ac:dyDescent="0.25">
      <c r="B19" s="120"/>
      <c r="C19" s="5">
        <v>3</v>
      </c>
      <c r="D19" s="31" t="s">
        <v>117</v>
      </c>
      <c r="E19" s="5">
        <v>20</v>
      </c>
    </row>
    <row r="20" spans="2:5" x14ac:dyDescent="0.25">
      <c r="B20" s="120"/>
      <c r="C20" s="5">
        <v>4</v>
      </c>
      <c r="D20" s="31" t="s">
        <v>118</v>
      </c>
      <c r="E20" s="5">
        <v>30</v>
      </c>
    </row>
    <row r="21" spans="2:5" x14ac:dyDescent="0.25">
      <c r="B21" s="112"/>
      <c r="C21" s="5">
        <v>5</v>
      </c>
      <c r="D21" s="31" t="s">
        <v>119</v>
      </c>
      <c r="E21" s="5">
        <v>40</v>
      </c>
    </row>
    <row r="22" spans="2:5" x14ac:dyDescent="0.25">
      <c r="B22" s="111" t="s">
        <v>71</v>
      </c>
      <c r="C22" s="5">
        <v>1</v>
      </c>
      <c r="D22" s="31" t="s">
        <v>120</v>
      </c>
      <c r="E22" s="5">
        <v>10</v>
      </c>
    </row>
    <row r="23" spans="2:5" x14ac:dyDescent="0.25">
      <c r="B23" s="120"/>
      <c r="C23" s="5">
        <v>2</v>
      </c>
      <c r="D23" s="31" t="s">
        <v>121</v>
      </c>
      <c r="E23" s="5">
        <v>20</v>
      </c>
    </row>
    <row r="24" spans="2:5" x14ac:dyDescent="0.25">
      <c r="B24" s="120"/>
      <c r="C24" s="5">
        <v>3</v>
      </c>
      <c r="D24" s="31" t="s">
        <v>123</v>
      </c>
      <c r="E24" s="5">
        <v>40</v>
      </c>
    </row>
    <row r="25" spans="2:5" x14ac:dyDescent="0.25">
      <c r="B25" s="120"/>
      <c r="C25" s="5">
        <v>4</v>
      </c>
      <c r="D25" s="31" t="s">
        <v>122</v>
      </c>
      <c r="E25" s="5">
        <v>60</v>
      </c>
    </row>
    <row r="26" spans="2:5" x14ac:dyDescent="0.25">
      <c r="B26" s="112"/>
      <c r="C26" s="5">
        <v>5</v>
      </c>
      <c r="D26" s="31" t="s">
        <v>124</v>
      </c>
      <c r="E26" s="5">
        <v>80</v>
      </c>
    </row>
    <row r="27" spans="2:5" x14ac:dyDescent="0.25">
      <c r="B27" s="32"/>
      <c r="C27" s="33"/>
      <c r="D27" s="30"/>
      <c r="E27" s="34"/>
    </row>
    <row r="28" spans="2:5" x14ac:dyDescent="0.25">
      <c r="B28" s="121" t="s">
        <v>48</v>
      </c>
      <c r="C28" s="122"/>
      <c r="D28" s="122"/>
      <c r="E28" s="123"/>
    </row>
    <row r="29" spans="2:5" x14ac:dyDescent="0.25">
      <c r="B29" s="6" t="s">
        <v>19</v>
      </c>
      <c r="C29" s="5" t="s">
        <v>20</v>
      </c>
      <c r="D29" s="5" t="s">
        <v>22</v>
      </c>
      <c r="E29" s="5" t="s">
        <v>27</v>
      </c>
    </row>
    <row r="30" spans="2:5" x14ac:dyDescent="0.25">
      <c r="B30" s="111" t="s">
        <v>49</v>
      </c>
      <c r="C30" s="5">
        <v>1</v>
      </c>
      <c r="D30" s="5" t="s">
        <v>53</v>
      </c>
      <c r="E30" s="5">
        <v>20</v>
      </c>
    </row>
    <row r="31" spans="2:5" x14ac:dyDescent="0.25">
      <c r="B31" s="120"/>
      <c r="C31" s="5">
        <v>2</v>
      </c>
      <c r="D31" s="5" t="s">
        <v>52</v>
      </c>
      <c r="E31" s="5">
        <v>40</v>
      </c>
    </row>
    <row r="32" spans="2:5" x14ac:dyDescent="0.25">
      <c r="B32" s="120"/>
      <c r="C32" s="5">
        <v>3</v>
      </c>
      <c r="D32" s="5" t="s">
        <v>54</v>
      </c>
      <c r="E32" s="5">
        <v>120</v>
      </c>
    </row>
    <row r="33" spans="2:5" ht="14.25" customHeight="1" x14ac:dyDescent="0.25">
      <c r="B33" s="120"/>
      <c r="C33" s="5">
        <v>4</v>
      </c>
      <c r="D33" s="5" t="s">
        <v>55</v>
      </c>
      <c r="E33" s="5">
        <v>160</v>
      </c>
    </row>
    <row r="34" spans="2:5" x14ac:dyDescent="0.25">
      <c r="B34" s="112"/>
      <c r="C34" s="5">
        <v>5</v>
      </c>
      <c r="D34" s="5" t="s">
        <v>58</v>
      </c>
      <c r="E34" s="5">
        <v>240</v>
      </c>
    </row>
    <row r="35" spans="2:5" x14ac:dyDescent="0.25">
      <c r="B35" s="111" t="s">
        <v>50</v>
      </c>
      <c r="C35" s="5">
        <v>1</v>
      </c>
      <c r="D35" s="5" t="s">
        <v>56</v>
      </c>
      <c r="E35" s="5">
        <v>0</v>
      </c>
    </row>
    <row r="36" spans="2:5" x14ac:dyDescent="0.25">
      <c r="B36" s="120"/>
      <c r="C36" s="5">
        <v>2</v>
      </c>
      <c r="D36" s="5" t="s">
        <v>57</v>
      </c>
      <c r="E36" s="5">
        <v>40</v>
      </c>
    </row>
    <row r="37" spans="2:5" x14ac:dyDescent="0.25">
      <c r="B37" s="120"/>
      <c r="C37" s="5">
        <v>3</v>
      </c>
      <c r="D37" s="5" t="s">
        <v>59</v>
      </c>
      <c r="E37" s="5">
        <v>120</v>
      </c>
    </row>
    <row r="38" spans="2:5" x14ac:dyDescent="0.25">
      <c r="B38" s="120"/>
      <c r="C38" s="5">
        <v>4</v>
      </c>
      <c r="D38" s="5" t="s">
        <v>60</v>
      </c>
      <c r="E38" s="5">
        <v>160</v>
      </c>
    </row>
    <row r="39" spans="2:5" x14ac:dyDescent="0.25">
      <c r="B39" s="112"/>
      <c r="C39" s="5">
        <v>5</v>
      </c>
      <c r="D39" s="5" t="s">
        <v>61</v>
      </c>
      <c r="E39" s="5">
        <v>240</v>
      </c>
    </row>
    <row r="41" spans="2:5" x14ac:dyDescent="0.25">
      <c r="B41" s="116" t="s">
        <v>35</v>
      </c>
      <c r="C41" s="116"/>
      <c r="D41" s="116"/>
      <c r="E41" s="116"/>
    </row>
    <row r="42" spans="2:5" x14ac:dyDescent="0.25">
      <c r="B42" s="6" t="s">
        <v>19</v>
      </c>
      <c r="C42" s="5" t="s">
        <v>20</v>
      </c>
      <c r="D42" s="5" t="s">
        <v>22</v>
      </c>
      <c r="E42" s="5" t="s">
        <v>27</v>
      </c>
    </row>
    <row r="43" spans="2:5" x14ac:dyDescent="0.25">
      <c r="B43" s="111" t="s">
        <v>36</v>
      </c>
      <c r="C43" s="5">
        <v>1</v>
      </c>
      <c r="D43" s="5" t="s">
        <v>37</v>
      </c>
      <c r="E43" s="5">
        <v>0</v>
      </c>
    </row>
    <row r="44" spans="2:5" x14ac:dyDescent="0.25">
      <c r="B44" s="120"/>
      <c r="C44" s="5">
        <v>2</v>
      </c>
      <c r="D44" s="5" t="s">
        <v>38</v>
      </c>
      <c r="E44" s="5">
        <v>10</v>
      </c>
    </row>
    <row r="45" spans="2:5" x14ac:dyDescent="0.25">
      <c r="B45" s="120"/>
      <c r="C45" s="5">
        <v>3</v>
      </c>
      <c r="D45" s="5" t="s">
        <v>39</v>
      </c>
      <c r="E45" s="5">
        <v>20</v>
      </c>
    </row>
    <row r="46" spans="2:5" x14ac:dyDescent="0.25">
      <c r="B46" s="120"/>
      <c r="C46" s="5">
        <v>4</v>
      </c>
      <c r="D46" s="5" t="s">
        <v>40</v>
      </c>
      <c r="E46" s="5">
        <v>30</v>
      </c>
    </row>
    <row r="47" spans="2:5" x14ac:dyDescent="0.25">
      <c r="B47" s="112"/>
      <c r="C47" s="5">
        <v>5</v>
      </c>
      <c r="D47" s="5" t="s">
        <v>41</v>
      </c>
      <c r="E47" s="5">
        <v>40</v>
      </c>
    </row>
    <row r="48" spans="2:5" x14ac:dyDescent="0.25">
      <c r="B48" s="117" t="s">
        <v>42</v>
      </c>
      <c r="C48" s="5">
        <v>1</v>
      </c>
      <c r="D48" s="5" t="s">
        <v>43</v>
      </c>
      <c r="E48" s="5">
        <v>0</v>
      </c>
    </row>
    <row r="49" spans="2:5" x14ac:dyDescent="0.25">
      <c r="B49" s="118"/>
      <c r="C49" s="5">
        <v>2</v>
      </c>
      <c r="D49" s="5" t="s">
        <v>44</v>
      </c>
      <c r="E49" s="5">
        <v>10</v>
      </c>
    </row>
    <row r="50" spans="2:5" x14ac:dyDescent="0.25">
      <c r="B50" s="118"/>
      <c r="C50" s="5">
        <v>3</v>
      </c>
      <c r="D50" s="5" t="s">
        <v>45</v>
      </c>
      <c r="E50" s="5">
        <v>20</v>
      </c>
    </row>
    <row r="51" spans="2:5" x14ac:dyDescent="0.25">
      <c r="B51" s="118"/>
      <c r="C51" s="5">
        <v>4</v>
      </c>
      <c r="D51" s="5" t="s">
        <v>46</v>
      </c>
      <c r="E51" s="5">
        <v>40</v>
      </c>
    </row>
    <row r="52" spans="2:5" x14ac:dyDescent="0.25">
      <c r="B52" s="119"/>
      <c r="C52" s="5">
        <v>5</v>
      </c>
      <c r="D52" s="5" t="s">
        <v>47</v>
      </c>
      <c r="E52" s="5">
        <v>60</v>
      </c>
    </row>
    <row r="55" spans="2:5" x14ac:dyDescent="0.25">
      <c r="C55" s="125" t="s">
        <v>62</v>
      </c>
      <c r="D55" s="126"/>
    </row>
    <row r="56" spans="2:5" x14ac:dyDescent="0.25">
      <c r="C56" s="124" t="s">
        <v>178</v>
      </c>
      <c r="D56" s="124"/>
    </row>
    <row r="57" spans="2:5" x14ac:dyDescent="0.25">
      <c r="C57" s="124"/>
      <c r="D57" s="124"/>
    </row>
    <row r="58" spans="2:5" x14ac:dyDescent="0.25">
      <c r="C58" s="124"/>
      <c r="D58" s="124"/>
    </row>
    <row r="59" spans="2:5" ht="90.75" customHeight="1" x14ac:dyDescent="0.25">
      <c r="C59" s="124"/>
      <c r="D59" s="124"/>
    </row>
    <row r="60" spans="2:5" x14ac:dyDescent="0.25">
      <c r="C60" s="124"/>
      <c r="D60" s="124"/>
      <c r="E60" s="3"/>
    </row>
  </sheetData>
  <mergeCells count="14">
    <mergeCell ref="B48:B52"/>
    <mergeCell ref="B28:E28"/>
    <mergeCell ref="B30:B34"/>
    <mergeCell ref="B35:B39"/>
    <mergeCell ref="C56:D60"/>
    <mergeCell ref="C55:D55"/>
    <mergeCell ref="B4:B8"/>
    <mergeCell ref="B2:E2"/>
    <mergeCell ref="B9:B13"/>
    <mergeCell ref="B41:E41"/>
    <mergeCell ref="B43:B47"/>
    <mergeCell ref="B15:E15"/>
    <mergeCell ref="B17:B21"/>
    <mergeCell ref="B22:B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C77A-C3C6-416C-9B1B-700CFAECEA32}">
  <dimension ref="A1:AQ11"/>
  <sheetViews>
    <sheetView showGridLines="0" topLeftCell="A4" zoomScale="55" zoomScaleNormal="55" workbookViewId="0">
      <pane xSplit="2" ySplit="3" topLeftCell="AJ7" activePane="bottomRight" state="frozen"/>
      <selection activeCell="A4" sqref="A4"/>
      <selection pane="topRight" activeCell="C4" sqref="C4"/>
      <selection pane="bottomLeft" activeCell="A7" sqref="A7"/>
      <selection pane="bottomRight" activeCell="AS5" sqref="AS5"/>
    </sheetView>
  </sheetViews>
  <sheetFormatPr defaultColWidth="11.42578125" defaultRowHeight="15" x14ac:dyDescent="0.25"/>
  <cols>
    <col min="1" max="1" width="7.5703125" style="29" customWidth="1"/>
    <col min="2" max="2" width="48.140625" style="29" customWidth="1"/>
    <col min="3" max="12" width="12.5703125" style="29" customWidth="1"/>
    <col min="13" max="22" width="22.85546875" style="28" customWidth="1"/>
    <col min="23" max="27" width="22.85546875" style="27" customWidth="1"/>
    <col min="28" max="28" width="22.7109375" style="27" bestFit="1" customWidth="1"/>
    <col min="29" max="29" width="25.140625" style="27" bestFit="1" customWidth="1"/>
    <col min="30" max="30" width="30.5703125" style="27" bestFit="1" customWidth="1"/>
    <col min="31" max="31" width="24.85546875" style="27" bestFit="1" customWidth="1"/>
    <col min="32" max="32" width="25.28515625" style="27" bestFit="1" customWidth="1"/>
    <col min="33" max="37" width="22.85546875" style="28" customWidth="1"/>
    <col min="38" max="42" width="22" style="28" customWidth="1"/>
    <col min="43" max="43" width="13.7109375" style="29" customWidth="1"/>
    <col min="44" max="256" width="11.42578125" style="29"/>
    <col min="257" max="257" width="7.5703125" style="29" customWidth="1"/>
    <col min="258" max="258" width="48.140625" style="29" customWidth="1"/>
    <col min="259" max="268" width="12.5703125" style="29" customWidth="1"/>
    <col min="269" max="283" width="22.85546875" style="29" customWidth="1"/>
    <col min="284" max="288" width="12.42578125" style="29" customWidth="1"/>
    <col min="289" max="293" width="22.85546875" style="29" customWidth="1"/>
    <col min="294" max="298" width="22" style="29" customWidth="1"/>
    <col min="299" max="299" width="13.7109375" style="29" customWidth="1"/>
    <col min="300" max="512" width="11.42578125" style="29"/>
    <col min="513" max="513" width="7.5703125" style="29" customWidth="1"/>
    <col min="514" max="514" width="48.140625" style="29" customWidth="1"/>
    <col min="515" max="524" width="12.5703125" style="29" customWidth="1"/>
    <col min="525" max="539" width="22.85546875" style="29" customWidth="1"/>
    <col min="540" max="544" width="12.42578125" style="29" customWidth="1"/>
    <col min="545" max="549" width="22.85546875" style="29" customWidth="1"/>
    <col min="550" max="554" width="22" style="29" customWidth="1"/>
    <col min="555" max="555" width="13.7109375" style="29" customWidth="1"/>
    <col min="556" max="768" width="11.42578125" style="29"/>
    <col min="769" max="769" width="7.5703125" style="29" customWidth="1"/>
    <col min="770" max="770" width="48.140625" style="29" customWidth="1"/>
    <col min="771" max="780" width="12.5703125" style="29" customWidth="1"/>
    <col min="781" max="795" width="22.85546875" style="29" customWidth="1"/>
    <col min="796" max="800" width="12.42578125" style="29" customWidth="1"/>
    <col min="801" max="805" width="22.85546875" style="29" customWidth="1"/>
    <col min="806" max="810" width="22" style="29" customWidth="1"/>
    <col min="811" max="811" width="13.7109375" style="29" customWidth="1"/>
    <col min="812" max="1024" width="11.42578125" style="29"/>
    <col min="1025" max="1025" width="7.5703125" style="29" customWidth="1"/>
    <col min="1026" max="1026" width="48.140625" style="29" customWidth="1"/>
    <col min="1027" max="1036" width="12.5703125" style="29" customWidth="1"/>
    <col min="1037" max="1051" width="22.85546875" style="29" customWidth="1"/>
    <col min="1052" max="1056" width="12.42578125" style="29" customWidth="1"/>
    <col min="1057" max="1061" width="22.85546875" style="29" customWidth="1"/>
    <col min="1062" max="1066" width="22" style="29" customWidth="1"/>
    <col min="1067" max="1067" width="13.7109375" style="29" customWidth="1"/>
    <col min="1068" max="1280" width="11.42578125" style="29"/>
    <col min="1281" max="1281" width="7.5703125" style="29" customWidth="1"/>
    <col min="1282" max="1282" width="48.140625" style="29" customWidth="1"/>
    <col min="1283" max="1292" width="12.5703125" style="29" customWidth="1"/>
    <col min="1293" max="1307" width="22.85546875" style="29" customWidth="1"/>
    <col min="1308" max="1312" width="12.42578125" style="29" customWidth="1"/>
    <col min="1313" max="1317" width="22.85546875" style="29" customWidth="1"/>
    <col min="1318" max="1322" width="22" style="29" customWidth="1"/>
    <col min="1323" max="1323" width="13.7109375" style="29" customWidth="1"/>
    <col min="1324" max="1536" width="11.42578125" style="29"/>
    <col min="1537" max="1537" width="7.5703125" style="29" customWidth="1"/>
    <col min="1538" max="1538" width="48.140625" style="29" customWidth="1"/>
    <col min="1539" max="1548" width="12.5703125" style="29" customWidth="1"/>
    <col min="1549" max="1563" width="22.85546875" style="29" customWidth="1"/>
    <col min="1564" max="1568" width="12.42578125" style="29" customWidth="1"/>
    <col min="1569" max="1573" width="22.85546875" style="29" customWidth="1"/>
    <col min="1574" max="1578" width="22" style="29" customWidth="1"/>
    <col min="1579" max="1579" width="13.7109375" style="29" customWidth="1"/>
    <col min="1580" max="1792" width="11.42578125" style="29"/>
    <col min="1793" max="1793" width="7.5703125" style="29" customWidth="1"/>
    <col min="1794" max="1794" width="48.140625" style="29" customWidth="1"/>
    <col min="1795" max="1804" width="12.5703125" style="29" customWidth="1"/>
    <col min="1805" max="1819" width="22.85546875" style="29" customWidth="1"/>
    <col min="1820" max="1824" width="12.42578125" style="29" customWidth="1"/>
    <col min="1825" max="1829" width="22.85546875" style="29" customWidth="1"/>
    <col min="1830" max="1834" width="22" style="29" customWidth="1"/>
    <col min="1835" max="1835" width="13.7109375" style="29" customWidth="1"/>
    <col min="1836" max="2048" width="11.42578125" style="29"/>
    <col min="2049" max="2049" width="7.5703125" style="29" customWidth="1"/>
    <col min="2050" max="2050" width="48.140625" style="29" customWidth="1"/>
    <col min="2051" max="2060" width="12.5703125" style="29" customWidth="1"/>
    <col min="2061" max="2075" width="22.85546875" style="29" customWidth="1"/>
    <col min="2076" max="2080" width="12.42578125" style="29" customWidth="1"/>
    <col min="2081" max="2085" width="22.85546875" style="29" customWidth="1"/>
    <col min="2086" max="2090" width="22" style="29" customWidth="1"/>
    <col min="2091" max="2091" width="13.7109375" style="29" customWidth="1"/>
    <col min="2092" max="2304" width="11.42578125" style="29"/>
    <col min="2305" max="2305" width="7.5703125" style="29" customWidth="1"/>
    <col min="2306" max="2306" width="48.140625" style="29" customWidth="1"/>
    <col min="2307" max="2316" width="12.5703125" style="29" customWidth="1"/>
    <col min="2317" max="2331" width="22.85546875" style="29" customWidth="1"/>
    <col min="2332" max="2336" width="12.42578125" style="29" customWidth="1"/>
    <col min="2337" max="2341" width="22.85546875" style="29" customWidth="1"/>
    <col min="2342" max="2346" width="22" style="29" customWidth="1"/>
    <col min="2347" max="2347" width="13.7109375" style="29" customWidth="1"/>
    <col min="2348" max="2560" width="11.42578125" style="29"/>
    <col min="2561" max="2561" width="7.5703125" style="29" customWidth="1"/>
    <col min="2562" max="2562" width="48.140625" style="29" customWidth="1"/>
    <col min="2563" max="2572" width="12.5703125" style="29" customWidth="1"/>
    <col min="2573" max="2587" width="22.85546875" style="29" customWidth="1"/>
    <col min="2588" max="2592" width="12.42578125" style="29" customWidth="1"/>
    <col min="2593" max="2597" width="22.85546875" style="29" customWidth="1"/>
    <col min="2598" max="2602" width="22" style="29" customWidth="1"/>
    <col min="2603" max="2603" width="13.7109375" style="29" customWidth="1"/>
    <col min="2604" max="2816" width="11.42578125" style="29"/>
    <col min="2817" max="2817" width="7.5703125" style="29" customWidth="1"/>
    <col min="2818" max="2818" width="48.140625" style="29" customWidth="1"/>
    <col min="2819" max="2828" width="12.5703125" style="29" customWidth="1"/>
    <col min="2829" max="2843" width="22.85546875" style="29" customWidth="1"/>
    <col min="2844" max="2848" width="12.42578125" style="29" customWidth="1"/>
    <col min="2849" max="2853" width="22.85546875" style="29" customWidth="1"/>
    <col min="2854" max="2858" width="22" style="29" customWidth="1"/>
    <col min="2859" max="2859" width="13.7109375" style="29" customWidth="1"/>
    <col min="2860" max="3072" width="11.42578125" style="29"/>
    <col min="3073" max="3073" width="7.5703125" style="29" customWidth="1"/>
    <col min="3074" max="3074" width="48.140625" style="29" customWidth="1"/>
    <col min="3075" max="3084" width="12.5703125" style="29" customWidth="1"/>
    <col min="3085" max="3099" width="22.85546875" style="29" customWidth="1"/>
    <col min="3100" max="3104" width="12.42578125" style="29" customWidth="1"/>
    <col min="3105" max="3109" width="22.85546875" style="29" customWidth="1"/>
    <col min="3110" max="3114" width="22" style="29" customWidth="1"/>
    <col min="3115" max="3115" width="13.7109375" style="29" customWidth="1"/>
    <col min="3116" max="3328" width="11.42578125" style="29"/>
    <col min="3329" max="3329" width="7.5703125" style="29" customWidth="1"/>
    <col min="3330" max="3330" width="48.140625" style="29" customWidth="1"/>
    <col min="3331" max="3340" width="12.5703125" style="29" customWidth="1"/>
    <col min="3341" max="3355" width="22.85546875" style="29" customWidth="1"/>
    <col min="3356" max="3360" width="12.42578125" style="29" customWidth="1"/>
    <col min="3361" max="3365" width="22.85546875" style="29" customWidth="1"/>
    <col min="3366" max="3370" width="22" style="29" customWidth="1"/>
    <col min="3371" max="3371" width="13.7109375" style="29" customWidth="1"/>
    <col min="3372" max="3584" width="11.42578125" style="29"/>
    <col min="3585" max="3585" width="7.5703125" style="29" customWidth="1"/>
    <col min="3586" max="3586" width="48.140625" style="29" customWidth="1"/>
    <col min="3587" max="3596" width="12.5703125" style="29" customWidth="1"/>
    <col min="3597" max="3611" width="22.85546875" style="29" customWidth="1"/>
    <col min="3612" max="3616" width="12.42578125" style="29" customWidth="1"/>
    <col min="3617" max="3621" width="22.85546875" style="29" customWidth="1"/>
    <col min="3622" max="3626" width="22" style="29" customWidth="1"/>
    <col min="3627" max="3627" width="13.7109375" style="29" customWidth="1"/>
    <col min="3628" max="3840" width="11.42578125" style="29"/>
    <col min="3841" max="3841" width="7.5703125" style="29" customWidth="1"/>
    <col min="3842" max="3842" width="48.140625" style="29" customWidth="1"/>
    <col min="3843" max="3852" width="12.5703125" style="29" customWidth="1"/>
    <col min="3853" max="3867" width="22.85546875" style="29" customWidth="1"/>
    <col min="3868" max="3872" width="12.42578125" style="29" customWidth="1"/>
    <col min="3873" max="3877" width="22.85546875" style="29" customWidth="1"/>
    <col min="3878" max="3882" width="22" style="29" customWidth="1"/>
    <col min="3883" max="3883" width="13.7109375" style="29" customWidth="1"/>
    <col min="3884" max="4096" width="11.42578125" style="29"/>
    <col min="4097" max="4097" width="7.5703125" style="29" customWidth="1"/>
    <col min="4098" max="4098" width="48.140625" style="29" customWidth="1"/>
    <col min="4099" max="4108" width="12.5703125" style="29" customWidth="1"/>
    <col min="4109" max="4123" width="22.85546875" style="29" customWidth="1"/>
    <col min="4124" max="4128" width="12.42578125" style="29" customWidth="1"/>
    <col min="4129" max="4133" width="22.85546875" style="29" customWidth="1"/>
    <col min="4134" max="4138" width="22" style="29" customWidth="1"/>
    <col min="4139" max="4139" width="13.7109375" style="29" customWidth="1"/>
    <col min="4140" max="4352" width="11.42578125" style="29"/>
    <col min="4353" max="4353" width="7.5703125" style="29" customWidth="1"/>
    <col min="4354" max="4354" width="48.140625" style="29" customWidth="1"/>
    <col min="4355" max="4364" width="12.5703125" style="29" customWidth="1"/>
    <col min="4365" max="4379" width="22.85546875" style="29" customWidth="1"/>
    <col min="4380" max="4384" width="12.42578125" style="29" customWidth="1"/>
    <col min="4385" max="4389" width="22.85546875" style="29" customWidth="1"/>
    <col min="4390" max="4394" width="22" style="29" customWidth="1"/>
    <col min="4395" max="4395" width="13.7109375" style="29" customWidth="1"/>
    <col min="4396" max="4608" width="11.42578125" style="29"/>
    <col min="4609" max="4609" width="7.5703125" style="29" customWidth="1"/>
    <col min="4610" max="4610" width="48.140625" style="29" customWidth="1"/>
    <col min="4611" max="4620" width="12.5703125" style="29" customWidth="1"/>
    <col min="4621" max="4635" width="22.85546875" style="29" customWidth="1"/>
    <col min="4636" max="4640" width="12.42578125" style="29" customWidth="1"/>
    <col min="4641" max="4645" width="22.85546875" style="29" customWidth="1"/>
    <col min="4646" max="4650" width="22" style="29" customWidth="1"/>
    <col min="4651" max="4651" width="13.7109375" style="29" customWidth="1"/>
    <col min="4652" max="4864" width="11.42578125" style="29"/>
    <col min="4865" max="4865" width="7.5703125" style="29" customWidth="1"/>
    <col min="4866" max="4866" width="48.140625" style="29" customWidth="1"/>
    <col min="4867" max="4876" width="12.5703125" style="29" customWidth="1"/>
    <col min="4877" max="4891" width="22.85546875" style="29" customWidth="1"/>
    <col min="4892" max="4896" width="12.42578125" style="29" customWidth="1"/>
    <col min="4897" max="4901" width="22.85546875" style="29" customWidth="1"/>
    <col min="4902" max="4906" width="22" style="29" customWidth="1"/>
    <col min="4907" max="4907" width="13.7109375" style="29" customWidth="1"/>
    <col min="4908" max="5120" width="11.42578125" style="29"/>
    <col min="5121" max="5121" width="7.5703125" style="29" customWidth="1"/>
    <col min="5122" max="5122" width="48.140625" style="29" customWidth="1"/>
    <col min="5123" max="5132" width="12.5703125" style="29" customWidth="1"/>
    <col min="5133" max="5147" width="22.85546875" style="29" customWidth="1"/>
    <col min="5148" max="5152" width="12.42578125" style="29" customWidth="1"/>
    <col min="5153" max="5157" width="22.85546875" style="29" customWidth="1"/>
    <col min="5158" max="5162" width="22" style="29" customWidth="1"/>
    <col min="5163" max="5163" width="13.7109375" style="29" customWidth="1"/>
    <col min="5164" max="5376" width="11.42578125" style="29"/>
    <col min="5377" max="5377" width="7.5703125" style="29" customWidth="1"/>
    <col min="5378" max="5378" width="48.140625" style="29" customWidth="1"/>
    <col min="5379" max="5388" width="12.5703125" style="29" customWidth="1"/>
    <col min="5389" max="5403" width="22.85546875" style="29" customWidth="1"/>
    <col min="5404" max="5408" width="12.42578125" style="29" customWidth="1"/>
    <col min="5409" max="5413" width="22.85546875" style="29" customWidth="1"/>
    <col min="5414" max="5418" width="22" style="29" customWidth="1"/>
    <col min="5419" max="5419" width="13.7109375" style="29" customWidth="1"/>
    <col min="5420" max="5632" width="11.42578125" style="29"/>
    <col min="5633" max="5633" width="7.5703125" style="29" customWidth="1"/>
    <col min="5634" max="5634" width="48.140625" style="29" customWidth="1"/>
    <col min="5635" max="5644" width="12.5703125" style="29" customWidth="1"/>
    <col min="5645" max="5659" width="22.85546875" style="29" customWidth="1"/>
    <col min="5660" max="5664" width="12.42578125" style="29" customWidth="1"/>
    <col min="5665" max="5669" width="22.85546875" style="29" customWidth="1"/>
    <col min="5670" max="5674" width="22" style="29" customWidth="1"/>
    <col min="5675" max="5675" width="13.7109375" style="29" customWidth="1"/>
    <col min="5676" max="5888" width="11.42578125" style="29"/>
    <col min="5889" max="5889" width="7.5703125" style="29" customWidth="1"/>
    <col min="5890" max="5890" width="48.140625" style="29" customWidth="1"/>
    <col min="5891" max="5900" width="12.5703125" style="29" customWidth="1"/>
    <col min="5901" max="5915" width="22.85546875" style="29" customWidth="1"/>
    <col min="5916" max="5920" width="12.42578125" style="29" customWidth="1"/>
    <col min="5921" max="5925" width="22.85546875" style="29" customWidth="1"/>
    <col min="5926" max="5930" width="22" style="29" customWidth="1"/>
    <col min="5931" max="5931" width="13.7109375" style="29" customWidth="1"/>
    <col min="5932" max="6144" width="11.42578125" style="29"/>
    <col min="6145" max="6145" width="7.5703125" style="29" customWidth="1"/>
    <col min="6146" max="6146" width="48.140625" style="29" customWidth="1"/>
    <col min="6147" max="6156" width="12.5703125" style="29" customWidth="1"/>
    <col min="6157" max="6171" width="22.85546875" style="29" customWidth="1"/>
    <col min="6172" max="6176" width="12.42578125" style="29" customWidth="1"/>
    <col min="6177" max="6181" width="22.85546875" style="29" customWidth="1"/>
    <col min="6182" max="6186" width="22" style="29" customWidth="1"/>
    <col min="6187" max="6187" width="13.7109375" style="29" customWidth="1"/>
    <col min="6188" max="6400" width="11.42578125" style="29"/>
    <col min="6401" max="6401" width="7.5703125" style="29" customWidth="1"/>
    <col min="6402" max="6402" width="48.140625" style="29" customWidth="1"/>
    <col min="6403" max="6412" width="12.5703125" style="29" customWidth="1"/>
    <col min="6413" max="6427" width="22.85546875" style="29" customWidth="1"/>
    <col min="6428" max="6432" width="12.42578125" style="29" customWidth="1"/>
    <col min="6433" max="6437" width="22.85546875" style="29" customWidth="1"/>
    <col min="6438" max="6442" width="22" style="29" customWidth="1"/>
    <col min="6443" max="6443" width="13.7109375" style="29" customWidth="1"/>
    <col min="6444" max="6656" width="11.42578125" style="29"/>
    <col min="6657" max="6657" width="7.5703125" style="29" customWidth="1"/>
    <col min="6658" max="6658" width="48.140625" style="29" customWidth="1"/>
    <col min="6659" max="6668" width="12.5703125" style="29" customWidth="1"/>
    <col min="6669" max="6683" width="22.85546875" style="29" customWidth="1"/>
    <col min="6684" max="6688" width="12.42578125" style="29" customWidth="1"/>
    <col min="6689" max="6693" width="22.85546875" style="29" customWidth="1"/>
    <col min="6694" max="6698" width="22" style="29" customWidth="1"/>
    <col min="6699" max="6699" width="13.7109375" style="29" customWidth="1"/>
    <col min="6700" max="6912" width="11.42578125" style="29"/>
    <col min="6913" max="6913" width="7.5703125" style="29" customWidth="1"/>
    <col min="6914" max="6914" width="48.140625" style="29" customWidth="1"/>
    <col min="6915" max="6924" width="12.5703125" style="29" customWidth="1"/>
    <col min="6925" max="6939" width="22.85546875" style="29" customWidth="1"/>
    <col min="6940" max="6944" width="12.42578125" style="29" customWidth="1"/>
    <col min="6945" max="6949" width="22.85546875" style="29" customWidth="1"/>
    <col min="6950" max="6954" width="22" style="29" customWidth="1"/>
    <col min="6955" max="6955" width="13.7109375" style="29" customWidth="1"/>
    <col min="6956" max="7168" width="11.42578125" style="29"/>
    <col min="7169" max="7169" width="7.5703125" style="29" customWidth="1"/>
    <col min="7170" max="7170" width="48.140625" style="29" customWidth="1"/>
    <col min="7171" max="7180" width="12.5703125" style="29" customWidth="1"/>
    <col min="7181" max="7195" width="22.85546875" style="29" customWidth="1"/>
    <col min="7196" max="7200" width="12.42578125" style="29" customWidth="1"/>
    <col min="7201" max="7205" width="22.85546875" style="29" customWidth="1"/>
    <col min="7206" max="7210" width="22" style="29" customWidth="1"/>
    <col min="7211" max="7211" width="13.7109375" style="29" customWidth="1"/>
    <col min="7212" max="7424" width="11.42578125" style="29"/>
    <col min="7425" max="7425" width="7.5703125" style="29" customWidth="1"/>
    <col min="7426" max="7426" width="48.140625" style="29" customWidth="1"/>
    <col min="7427" max="7436" width="12.5703125" style="29" customWidth="1"/>
    <col min="7437" max="7451" width="22.85546875" style="29" customWidth="1"/>
    <col min="7452" max="7456" width="12.42578125" style="29" customWidth="1"/>
    <col min="7457" max="7461" width="22.85546875" style="29" customWidth="1"/>
    <col min="7462" max="7466" width="22" style="29" customWidth="1"/>
    <col min="7467" max="7467" width="13.7109375" style="29" customWidth="1"/>
    <col min="7468" max="7680" width="11.42578125" style="29"/>
    <col min="7681" max="7681" width="7.5703125" style="29" customWidth="1"/>
    <col min="7682" max="7682" width="48.140625" style="29" customWidth="1"/>
    <col min="7683" max="7692" width="12.5703125" style="29" customWidth="1"/>
    <col min="7693" max="7707" width="22.85546875" style="29" customWidth="1"/>
    <col min="7708" max="7712" width="12.42578125" style="29" customWidth="1"/>
    <col min="7713" max="7717" width="22.85546875" style="29" customWidth="1"/>
    <col min="7718" max="7722" width="22" style="29" customWidth="1"/>
    <col min="7723" max="7723" width="13.7109375" style="29" customWidth="1"/>
    <col min="7724" max="7936" width="11.42578125" style="29"/>
    <col min="7937" max="7937" width="7.5703125" style="29" customWidth="1"/>
    <col min="7938" max="7938" width="48.140625" style="29" customWidth="1"/>
    <col min="7939" max="7948" width="12.5703125" style="29" customWidth="1"/>
    <col min="7949" max="7963" width="22.85546875" style="29" customWidth="1"/>
    <col min="7964" max="7968" width="12.42578125" style="29" customWidth="1"/>
    <col min="7969" max="7973" width="22.85546875" style="29" customWidth="1"/>
    <col min="7974" max="7978" width="22" style="29" customWidth="1"/>
    <col min="7979" max="7979" width="13.7109375" style="29" customWidth="1"/>
    <col min="7980" max="8192" width="11.42578125" style="29"/>
    <col min="8193" max="8193" width="7.5703125" style="29" customWidth="1"/>
    <col min="8194" max="8194" width="48.140625" style="29" customWidth="1"/>
    <col min="8195" max="8204" width="12.5703125" style="29" customWidth="1"/>
    <col min="8205" max="8219" width="22.85546875" style="29" customWidth="1"/>
    <col min="8220" max="8224" width="12.42578125" style="29" customWidth="1"/>
    <col min="8225" max="8229" width="22.85546875" style="29" customWidth="1"/>
    <col min="8230" max="8234" width="22" style="29" customWidth="1"/>
    <col min="8235" max="8235" width="13.7109375" style="29" customWidth="1"/>
    <col min="8236" max="8448" width="11.42578125" style="29"/>
    <col min="8449" max="8449" width="7.5703125" style="29" customWidth="1"/>
    <col min="8450" max="8450" width="48.140625" style="29" customWidth="1"/>
    <col min="8451" max="8460" width="12.5703125" style="29" customWidth="1"/>
    <col min="8461" max="8475" width="22.85546875" style="29" customWidth="1"/>
    <col min="8476" max="8480" width="12.42578125" style="29" customWidth="1"/>
    <col min="8481" max="8485" width="22.85546875" style="29" customWidth="1"/>
    <col min="8486" max="8490" width="22" style="29" customWidth="1"/>
    <col min="8491" max="8491" width="13.7109375" style="29" customWidth="1"/>
    <col min="8492" max="8704" width="11.42578125" style="29"/>
    <col min="8705" max="8705" width="7.5703125" style="29" customWidth="1"/>
    <col min="8706" max="8706" width="48.140625" style="29" customWidth="1"/>
    <col min="8707" max="8716" width="12.5703125" style="29" customWidth="1"/>
    <col min="8717" max="8731" width="22.85546875" style="29" customWidth="1"/>
    <col min="8732" max="8736" width="12.42578125" style="29" customWidth="1"/>
    <col min="8737" max="8741" width="22.85546875" style="29" customWidth="1"/>
    <col min="8742" max="8746" width="22" style="29" customWidth="1"/>
    <col min="8747" max="8747" width="13.7109375" style="29" customWidth="1"/>
    <col min="8748" max="8960" width="11.42578125" style="29"/>
    <col min="8961" max="8961" width="7.5703125" style="29" customWidth="1"/>
    <col min="8962" max="8962" width="48.140625" style="29" customWidth="1"/>
    <col min="8963" max="8972" width="12.5703125" style="29" customWidth="1"/>
    <col min="8973" max="8987" width="22.85546875" style="29" customWidth="1"/>
    <col min="8988" max="8992" width="12.42578125" style="29" customWidth="1"/>
    <col min="8993" max="8997" width="22.85546875" style="29" customWidth="1"/>
    <col min="8998" max="9002" width="22" style="29" customWidth="1"/>
    <col min="9003" max="9003" width="13.7109375" style="29" customWidth="1"/>
    <col min="9004" max="9216" width="11.42578125" style="29"/>
    <col min="9217" max="9217" width="7.5703125" style="29" customWidth="1"/>
    <col min="9218" max="9218" width="48.140625" style="29" customWidth="1"/>
    <col min="9219" max="9228" width="12.5703125" style="29" customWidth="1"/>
    <col min="9229" max="9243" width="22.85546875" style="29" customWidth="1"/>
    <col min="9244" max="9248" width="12.42578125" style="29" customWidth="1"/>
    <col min="9249" max="9253" width="22.85546875" style="29" customWidth="1"/>
    <col min="9254" max="9258" width="22" style="29" customWidth="1"/>
    <col min="9259" max="9259" width="13.7109375" style="29" customWidth="1"/>
    <col min="9260" max="9472" width="11.42578125" style="29"/>
    <col min="9473" max="9473" width="7.5703125" style="29" customWidth="1"/>
    <col min="9474" max="9474" width="48.140625" style="29" customWidth="1"/>
    <col min="9475" max="9484" width="12.5703125" style="29" customWidth="1"/>
    <col min="9485" max="9499" width="22.85546875" style="29" customWidth="1"/>
    <col min="9500" max="9504" width="12.42578125" style="29" customWidth="1"/>
    <col min="9505" max="9509" width="22.85546875" style="29" customWidth="1"/>
    <col min="9510" max="9514" width="22" style="29" customWidth="1"/>
    <col min="9515" max="9515" width="13.7109375" style="29" customWidth="1"/>
    <col min="9516" max="9728" width="11.42578125" style="29"/>
    <col min="9729" max="9729" width="7.5703125" style="29" customWidth="1"/>
    <col min="9730" max="9730" width="48.140625" style="29" customWidth="1"/>
    <col min="9731" max="9740" width="12.5703125" style="29" customWidth="1"/>
    <col min="9741" max="9755" width="22.85546875" style="29" customWidth="1"/>
    <col min="9756" max="9760" width="12.42578125" style="29" customWidth="1"/>
    <col min="9761" max="9765" width="22.85546875" style="29" customWidth="1"/>
    <col min="9766" max="9770" width="22" style="29" customWidth="1"/>
    <col min="9771" max="9771" width="13.7109375" style="29" customWidth="1"/>
    <col min="9772" max="9984" width="11.42578125" style="29"/>
    <col min="9985" max="9985" width="7.5703125" style="29" customWidth="1"/>
    <col min="9986" max="9986" width="48.140625" style="29" customWidth="1"/>
    <col min="9987" max="9996" width="12.5703125" style="29" customWidth="1"/>
    <col min="9997" max="10011" width="22.85546875" style="29" customWidth="1"/>
    <col min="10012" max="10016" width="12.42578125" style="29" customWidth="1"/>
    <col min="10017" max="10021" width="22.85546875" style="29" customWidth="1"/>
    <col min="10022" max="10026" width="22" style="29" customWidth="1"/>
    <col min="10027" max="10027" width="13.7109375" style="29" customWidth="1"/>
    <col min="10028" max="10240" width="11.42578125" style="29"/>
    <col min="10241" max="10241" width="7.5703125" style="29" customWidth="1"/>
    <col min="10242" max="10242" width="48.140625" style="29" customWidth="1"/>
    <col min="10243" max="10252" width="12.5703125" style="29" customWidth="1"/>
    <col min="10253" max="10267" width="22.85546875" style="29" customWidth="1"/>
    <col min="10268" max="10272" width="12.42578125" style="29" customWidth="1"/>
    <col min="10273" max="10277" width="22.85546875" style="29" customWidth="1"/>
    <col min="10278" max="10282" width="22" style="29" customWidth="1"/>
    <col min="10283" max="10283" width="13.7109375" style="29" customWidth="1"/>
    <col min="10284" max="10496" width="11.42578125" style="29"/>
    <col min="10497" max="10497" width="7.5703125" style="29" customWidth="1"/>
    <col min="10498" max="10498" width="48.140625" style="29" customWidth="1"/>
    <col min="10499" max="10508" width="12.5703125" style="29" customWidth="1"/>
    <col min="10509" max="10523" width="22.85546875" style="29" customWidth="1"/>
    <col min="10524" max="10528" width="12.42578125" style="29" customWidth="1"/>
    <col min="10529" max="10533" width="22.85546875" style="29" customWidth="1"/>
    <col min="10534" max="10538" width="22" style="29" customWidth="1"/>
    <col min="10539" max="10539" width="13.7109375" style="29" customWidth="1"/>
    <col min="10540" max="10752" width="11.42578125" style="29"/>
    <col min="10753" max="10753" width="7.5703125" style="29" customWidth="1"/>
    <col min="10754" max="10754" width="48.140625" style="29" customWidth="1"/>
    <col min="10755" max="10764" width="12.5703125" style="29" customWidth="1"/>
    <col min="10765" max="10779" width="22.85546875" style="29" customWidth="1"/>
    <col min="10780" max="10784" width="12.42578125" style="29" customWidth="1"/>
    <col min="10785" max="10789" width="22.85546875" style="29" customWidth="1"/>
    <col min="10790" max="10794" width="22" style="29" customWidth="1"/>
    <col min="10795" max="10795" width="13.7109375" style="29" customWidth="1"/>
    <col min="10796" max="11008" width="11.42578125" style="29"/>
    <col min="11009" max="11009" width="7.5703125" style="29" customWidth="1"/>
    <col min="11010" max="11010" width="48.140625" style="29" customWidth="1"/>
    <col min="11011" max="11020" width="12.5703125" style="29" customWidth="1"/>
    <col min="11021" max="11035" width="22.85546875" style="29" customWidth="1"/>
    <col min="11036" max="11040" width="12.42578125" style="29" customWidth="1"/>
    <col min="11041" max="11045" width="22.85546875" style="29" customWidth="1"/>
    <col min="11046" max="11050" width="22" style="29" customWidth="1"/>
    <col min="11051" max="11051" width="13.7109375" style="29" customWidth="1"/>
    <col min="11052" max="11264" width="11.42578125" style="29"/>
    <col min="11265" max="11265" width="7.5703125" style="29" customWidth="1"/>
    <col min="11266" max="11266" width="48.140625" style="29" customWidth="1"/>
    <col min="11267" max="11276" width="12.5703125" style="29" customWidth="1"/>
    <col min="11277" max="11291" width="22.85546875" style="29" customWidth="1"/>
    <col min="11292" max="11296" width="12.42578125" style="29" customWidth="1"/>
    <col min="11297" max="11301" width="22.85546875" style="29" customWidth="1"/>
    <col min="11302" max="11306" width="22" style="29" customWidth="1"/>
    <col min="11307" max="11307" width="13.7109375" style="29" customWidth="1"/>
    <col min="11308" max="11520" width="11.42578125" style="29"/>
    <col min="11521" max="11521" width="7.5703125" style="29" customWidth="1"/>
    <col min="11522" max="11522" width="48.140625" style="29" customWidth="1"/>
    <col min="11523" max="11532" width="12.5703125" style="29" customWidth="1"/>
    <col min="11533" max="11547" width="22.85546875" style="29" customWidth="1"/>
    <col min="11548" max="11552" width="12.42578125" style="29" customWidth="1"/>
    <col min="11553" max="11557" width="22.85546875" style="29" customWidth="1"/>
    <col min="11558" max="11562" width="22" style="29" customWidth="1"/>
    <col min="11563" max="11563" width="13.7109375" style="29" customWidth="1"/>
    <col min="11564" max="11776" width="11.42578125" style="29"/>
    <col min="11777" max="11777" width="7.5703125" style="29" customWidth="1"/>
    <col min="11778" max="11778" width="48.140625" style="29" customWidth="1"/>
    <col min="11779" max="11788" width="12.5703125" style="29" customWidth="1"/>
    <col min="11789" max="11803" width="22.85546875" style="29" customWidth="1"/>
    <col min="11804" max="11808" width="12.42578125" style="29" customWidth="1"/>
    <col min="11809" max="11813" width="22.85546875" style="29" customWidth="1"/>
    <col min="11814" max="11818" width="22" style="29" customWidth="1"/>
    <col min="11819" max="11819" width="13.7109375" style="29" customWidth="1"/>
    <col min="11820" max="12032" width="11.42578125" style="29"/>
    <col min="12033" max="12033" width="7.5703125" style="29" customWidth="1"/>
    <col min="12034" max="12034" width="48.140625" style="29" customWidth="1"/>
    <col min="12035" max="12044" width="12.5703125" style="29" customWidth="1"/>
    <col min="12045" max="12059" width="22.85546875" style="29" customWidth="1"/>
    <col min="12060" max="12064" width="12.42578125" style="29" customWidth="1"/>
    <col min="12065" max="12069" width="22.85546875" style="29" customWidth="1"/>
    <col min="12070" max="12074" width="22" style="29" customWidth="1"/>
    <col min="12075" max="12075" width="13.7109375" style="29" customWidth="1"/>
    <col min="12076" max="12288" width="11.42578125" style="29"/>
    <col min="12289" max="12289" width="7.5703125" style="29" customWidth="1"/>
    <col min="12290" max="12290" width="48.140625" style="29" customWidth="1"/>
    <col min="12291" max="12300" width="12.5703125" style="29" customWidth="1"/>
    <col min="12301" max="12315" width="22.85546875" style="29" customWidth="1"/>
    <col min="12316" max="12320" width="12.42578125" style="29" customWidth="1"/>
    <col min="12321" max="12325" width="22.85546875" style="29" customWidth="1"/>
    <col min="12326" max="12330" width="22" style="29" customWidth="1"/>
    <col min="12331" max="12331" width="13.7109375" style="29" customWidth="1"/>
    <col min="12332" max="12544" width="11.42578125" style="29"/>
    <col min="12545" max="12545" width="7.5703125" style="29" customWidth="1"/>
    <col min="12546" max="12546" width="48.140625" style="29" customWidth="1"/>
    <col min="12547" max="12556" width="12.5703125" style="29" customWidth="1"/>
    <col min="12557" max="12571" width="22.85546875" style="29" customWidth="1"/>
    <col min="12572" max="12576" width="12.42578125" style="29" customWidth="1"/>
    <col min="12577" max="12581" width="22.85546875" style="29" customWidth="1"/>
    <col min="12582" max="12586" width="22" style="29" customWidth="1"/>
    <col min="12587" max="12587" width="13.7109375" style="29" customWidth="1"/>
    <col min="12588" max="12800" width="11.42578125" style="29"/>
    <col min="12801" max="12801" width="7.5703125" style="29" customWidth="1"/>
    <col min="12802" max="12802" width="48.140625" style="29" customWidth="1"/>
    <col min="12803" max="12812" width="12.5703125" style="29" customWidth="1"/>
    <col min="12813" max="12827" width="22.85546875" style="29" customWidth="1"/>
    <col min="12828" max="12832" width="12.42578125" style="29" customWidth="1"/>
    <col min="12833" max="12837" width="22.85546875" style="29" customWidth="1"/>
    <col min="12838" max="12842" width="22" style="29" customWidth="1"/>
    <col min="12843" max="12843" width="13.7109375" style="29" customWidth="1"/>
    <col min="12844" max="13056" width="11.42578125" style="29"/>
    <col min="13057" max="13057" width="7.5703125" style="29" customWidth="1"/>
    <col min="13058" max="13058" width="48.140625" style="29" customWidth="1"/>
    <col min="13059" max="13068" width="12.5703125" style="29" customWidth="1"/>
    <col min="13069" max="13083" width="22.85546875" style="29" customWidth="1"/>
    <col min="13084" max="13088" width="12.42578125" style="29" customWidth="1"/>
    <col min="13089" max="13093" width="22.85546875" style="29" customWidth="1"/>
    <col min="13094" max="13098" width="22" style="29" customWidth="1"/>
    <col min="13099" max="13099" width="13.7109375" style="29" customWidth="1"/>
    <col min="13100" max="13312" width="11.42578125" style="29"/>
    <col min="13313" max="13313" width="7.5703125" style="29" customWidth="1"/>
    <col min="13314" max="13314" width="48.140625" style="29" customWidth="1"/>
    <col min="13315" max="13324" width="12.5703125" style="29" customWidth="1"/>
    <col min="13325" max="13339" width="22.85546875" style="29" customWidth="1"/>
    <col min="13340" max="13344" width="12.42578125" style="29" customWidth="1"/>
    <col min="13345" max="13349" width="22.85546875" style="29" customWidth="1"/>
    <col min="13350" max="13354" width="22" style="29" customWidth="1"/>
    <col min="13355" max="13355" width="13.7109375" style="29" customWidth="1"/>
    <col min="13356" max="13568" width="11.42578125" style="29"/>
    <col min="13569" max="13569" width="7.5703125" style="29" customWidth="1"/>
    <col min="13570" max="13570" width="48.140625" style="29" customWidth="1"/>
    <col min="13571" max="13580" width="12.5703125" style="29" customWidth="1"/>
    <col min="13581" max="13595" width="22.85546875" style="29" customWidth="1"/>
    <col min="13596" max="13600" width="12.42578125" style="29" customWidth="1"/>
    <col min="13601" max="13605" width="22.85546875" style="29" customWidth="1"/>
    <col min="13606" max="13610" width="22" style="29" customWidth="1"/>
    <col min="13611" max="13611" width="13.7109375" style="29" customWidth="1"/>
    <col min="13612" max="13824" width="11.42578125" style="29"/>
    <col min="13825" max="13825" width="7.5703125" style="29" customWidth="1"/>
    <col min="13826" max="13826" width="48.140625" style="29" customWidth="1"/>
    <col min="13827" max="13836" width="12.5703125" style="29" customWidth="1"/>
    <col min="13837" max="13851" width="22.85546875" style="29" customWidth="1"/>
    <col min="13852" max="13856" width="12.42578125" style="29" customWidth="1"/>
    <col min="13857" max="13861" width="22.85546875" style="29" customWidth="1"/>
    <col min="13862" max="13866" width="22" style="29" customWidth="1"/>
    <col min="13867" max="13867" width="13.7109375" style="29" customWidth="1"/>
    <col min="13868" max="14080" width="11.42578125" style="29"/>
    <col min="14081" max="14081" width="7.5703125" style="29" customWidth="1"/>
    <col min="14082" max="14082" width="48.140625" style="29" customWidth="1"/>
    <col min="14083" max="14092" width="12.5703125" style="29" customWidth="1"/>
    <col min="14093" max="14107" width="22.85546875" style="29" customWidth="1"/>
    <col min="14108" max="14112" width="12.42578125" style="29" customWidth="1"/>
    <col min="14113" max="14117" width="22.85546875" style="29" customWidth="1"/>
    <col min="14118" max="14122" width="22" style="29" customWidth="1"/>
    <col min="14123" max="14123" width="13.7109375" style="29" customWidth="1"/>
    <col min="14124" max="14336" width="11.42578125" style="29"/>
    <col min="14337" max="14337" width="7.5703125" style="29" customWidth="1"/>
    <col min="14338" max="14338" width="48.140625" style="29" customWidth="1"/>
    <col min="14339" max="14348" width="12.5703125" style="29" customWidth="1"/>
    <col min="14349" max="14363" width="22.85546875" style="29" customWidth="1"/>
    <col min="14364" max="14368" width="12.42578125" style="29" customWidth="1"/>
    <col min="14369" max="14373" width="22.85546875" style="29" customWidth="1"/>
    <col min="14374" max="14378" width="22" style="29" customWidth="1"/>
    <col min="14379" max="14379" width="13.7109375" style="29" customWidth="1"/>
    <col min="14380" max="14592" width="11.42578125" style="29"/>
    <col min="14593" max="14593" width="7.5703125" style="29" customWidth="1"/>
    <col min="14594" max="14594" width="48.140625" style="29" customWidth="1"/>
    <col min="14595" max="14604" width="12.5703125" style="29" customWidth="1"/>
    <col min="14605" max="14619" width="22.85546875" style="29" customWidth="1"/>
    <col min="14620" max="14624" width="12.42578125" style="29" customWidth="1"/>
    <col min="14625" max="14629" width="22.85546875" style="29" customWidth="1"/>
    <col min="14630" max="14634" width="22" style="29" customWidth="1"/>
    <col min="14635" max="14635" width="13.7109375" style="29" customWidth="1"/>
    <col min="14636" max="14848" width="11.42578125" style="29"/>
    <col min="14849" max="14849" width="7.5703125" style="29" customWidth="1"/>
    <col min="14850" max="14850" width="48.140625" style="29" customWidth="1"/>
    <col min="14851" max="14860" width="12.5703125" style="29" customWidth="1"/>
    <col min="14861" max="14875" width="22.85546875" style="29" customWidth="1"/>
    <col min="14876" max="14880" width="12.42578125" style="29" customWidth="1"/>
    <col min="14881" max="14885" width="22.85546875" style="29" customWidth="1"/>
    <col min="14886" max="14890" width="22" style="29" customWidth="1"/>
    <col min="14891" max="14891" width="13.7109375" style="29" customWidth="1"/>
    <col min="14892" max="15104" width="11.42578125" style="29"/>
    <col min="15105" max="15105" width="7.5703125" style="29" customWidth="1"/>
    <col min="15106" max="15106" width="48.140625" style="29" customWidth="1"/>
    <col min="15107" max="15116" width="12.5703125" style="29" customWidth="1"/>
    <col min="15117" max="15131" width="22.85546875" style="29" customWidth="1"/>
    <col min="15132" max="15136" width="12.42578125" style="29" customWidth="1"/>
    <col min="15137" max="15141" width="22.85546875" style="29" customWidth="1"/>
    <col min="15142" max="15146" width="22" style="29" customWidth="1"/>
    <col min="15147" max="15147" width="13.7109375" style="29" customWidth="1"/>
    <col min="15148" max="15360" width="11.42578125" style="29"/>
    <col min="15361" max="15361" width="7.5703125" style="29" customWidth="1"/>
    <col min="15362" max="15362" width="48.140625" style="29" customWidth="1"/>
    <col min="15363" max="15372" width="12.5703125" style="29" customWidth="1"/>
    <col min="15373" max="15387" width="22.85546875" style="29" customWidth="1"/>
    <col min="15388" max="15392" width="12.42578125" style="29" customWidth="1"/>
    <col min="15393" max="15397" width="22.85546875" style="29" customWidth="1"/>
    <col min="15398" max="15402" width="22" style="29" customWidth="1"/>
    <col min="15403" max="15403" width="13.7109375" style="29" customWidth="1"/>
    <col min="15404" max="15616" width="11.42578125" style="29"/>
    <col min="15617" max="15617" width="7.5703125" style="29" customWidth="1"/>
    <col min="15618" max="15618" width="48.140625" style="29" customWidth="1"/>
    <col min="15619" max="15628" width="12.5703125" style="29" customWidth="1"/>
    <col min="15629" max="15643" width="22.85546875" style="29" customWidth="1"/>
    <col min="15644" max="15648" width="12.42578125" style="29" customWidth="1"/>
    <col min="15649" max="15653" width="22.85546875" style="29" customWidth="1"/>
    <col min="15654" max="15658" width="22" style="29" customWidth="1"/>
    <col min="15659" max="15659" width="13.7109375" style="29" customWidth="1"/>
    <col min="15660" max="15872" width="11.42578125" style="29"/>
    <col min="15873" max="15873" width="7.5703125" style="29" customWidth="1"/>
    <col min="15874" max="15874" width="48.140625" style="29" customWidth="1"/>
    <col min="15875" max="15884" width="12.5703125" style="29" customWidth="1"/>
    <col min="15885" max="15899" width="22.85546875" style="29" customWidth="1"/>
    <col min="15900" max="15904" width="12.42578125" style="29" customWidth="1"/>
    <col min="15905" max="15909" width="22.85546875" style="29" customWidth="1"/>
    <col min="15910" max="15914" width="22" style="29" customWidth="1"/>
    <col min="15915" max="15915" width="13.7109375" style="29" customWidth="1"/>
    <col min="15916" max="16128" width="11.42578125" style="29"/>
    <col min="16129" max="16129" width="7.5703125" style="29" customWidth="1"/>
    <col min="16130" max="16130" width="48.140625" style="29" customWidth="1"/>
    <col min="16131" max="16140" width="12.5703125" style="29" customWidth="1"/>
    <col min="16141" max="16155" width="22.85546875" style="29" customWidth="1"/>
    <col min="16156" max="16160" width="12.42578125" style="29" customWidth="1"/>
    <col min="16161" max="16165" width="22.85546875" style="29" customWidth="1"/>
    <col min="16166" max="16170" width="22" style="29" customWidth="1"/>
    <col min="16171" max="16171" width="13.7109375" style="29" customWidth="1"/>
    <col min="16172" max="16384" width="11.42578125" style="29"/>
  </cols>
  <sheetData>
    <row r="1" spans="1:43" s="9" customFormat="1" ht="9.6" customHeight="1" x14ac:dyDescent="0.2">
      <c r="A1" s="127" t="s">
        <v>74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1" customFormat="1" ht="35.25" customHeight="1" x14ac:dyDescent="0.25">
      <c r="A2" s="10"/>
      <c r="B2" s="128" t="s">
        <v>75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30"/>
    </row>
    <row r="3" spans="1:43" s="12" customFormat="1" ht="12.6" customHeight="1" x14ac:dyDescent="0.3">
      <c r="A3" s="131" t="s">
        <v>12</v>
      </c>
      <c r="B3" s="134" t="s">
        <v>76</v>
      </c>
      <c r="C3" s="136" t="s">
        <v>77</v>
      </c>
      <c r="D3" s="137"/>
      <c r="E3" s="137"/>
      <c r="F3" s="137"/>
      <c r="G3" s="137"/>
      <c r="H3" s="137"/>
      <c r="I3" s="137"/>
      <c r="J3" s="137"/>
      <c r="K3" s="137"/>
      <c r="L3" s="138"/>
      <c r="M3" s="139" t="s">
        <v>78</v>
      </c>
      <c r="N3" s="140"/>
      <c r="O3" s="140"/>
      <c r="P3" s="140"/>
      <c r="Q3" s="140"/>
      <c r="R3" s="140"/>
      <c r="S3" s="140"/>
      <c r="T3" s="140"/>
      <c r="U3" s="140"/>
      <c r="V3" s="141"/>
      <c r="W3" s="142" t="s">
        <v>79</v>
      </c>
      <c r="X3" s="143"/>
      <c r="Y3" s="143"/>
      <c r="Z3" s="143"/>
      <c r="AA3" s="143"/>
      <c r="AB3" s="143"/>
      <c r="AC3" s="143"/>
      <c r="AD3" s="143"/>
      <c r="AE3" s="143"/>
      <c r="AF3" s="144"/>
      <c r="AG3" s="145" t="s">
        <v>80</v>
      </c>
      <c r="AH3" s="146"/>
      <c r="AI3" s="146"/>
      <c r="AJ3" s="146"/>
      <c r="AK3" s="146"/>
      <c r="AL3" s="146"/>
      <c r="AM3" s="146"/>
      <c r="AN3" s="146"/>
      <c r="AO3" s="146"/>
      <c r="AP3" s="147"/>
      <c r="AQ3" s="148" t="s">
        <v>81</v>
      </c>
    </row>
    <row r="4" spans="1:43" s="13" customFormat="1" ht="101.45" customHeight="1" x14ac:dyDescent="0.25">
      <c r="A4" s="132"/>
      <c r="B4" s="135"/>
      <c r="C4" s="150" t="s">
        <v>21</v>
      </c>
      <c r="D4" s="151"/>
      <c r="E4" s="151"/>
      <c r="F4" s="151"/>
      <c r="G4" s="152"/>
      <c r="H4" s="150" t="s">
        <v>28</v>
      </c>
      <c r="I4" s="151"/>
      <c r="J4" s="151"/>
      <c r="K4" s="151"/>
      <c r="L4" s="152"/>
      <c r="M4" s="156" t="s">
        <v>70</v>
      </c>
      <c r="N4" s="157"/>
      <c r="O4" s="157"/>
      <c r="P4" s="157"/>
      <c r="Q4" s="158"/>
      <c r="R4" s="156" t="s">
        <v>71</v>
      </c>
      <c r="S4" s="157"/>
      <c r="T4" s="157"/>
      <c r="U4" s="157"/>
      <c r="V4" s="158"/>
      <c r="W4" s="159" t="s">
        <v>49</v>
      </c>
      <c r="X4" s="160"/>
      <c r="Y4" s="160"/>
      <c r="Z4" s="160"/>
      <c r="AA4" s="161"/>
      <c r="AB4" s="159" t="s">
        <v>50</v>
      </c>
      <c r="AC4" s="160"/>
      <c r="AD4" s="160"/>
      <c r="AE4" s="160"/>
      <c r="AF4" s="161"/>
      <c r="AG4" s="153" t="s">
        <v>36</v>
      </c>
      <c r="AH4" s="154"/>
      <c r="AI4" s="154"/>
      <c r="AJ4" s="154"/>
      <c r="AK4" s="155"/>
      <c r="AL4" s="153" t="s">
        <v>42</v>
      </c>
      <c r="AM4" s="154"/>
      <c r="AN4" s="154"/>
      <c r="AO4" s="154"/>
      <c r="AP4" s="155"/>
      <c r="AQ4" s="149"/>
    </row>
    <row r="5" spans="1:43" s="16" customFormat="1" ht="137.44999999999999" customHeight="1" x14ac:dyDescent="0.35">
      <c r="A5" s="132"/>
      <c r="B5" s="14" t="s">
        <v>82</v>
      </c>
      <c r="C5" s="35" t="s">
        <v>107</v>
      </c>
      <c r="D5" s="36" t="s">
        <v>108</v>
      </c>
      <c r="E5" s="35" t="s">
        <v>83</v>
      </c>
      <c r="F5" s="35" t="s">
        <v>109</v>
      </c>
      <c r="G5" s="36" t="s">
        <v>110</v>
      </c>
      <c r="H5" s="37" t="s">
        <v>84</v>
      </c>
      <c r="I5" s="37" t="s">
        <v>85</v>
      </c>
      <c r="J5" s="37" t="s">
        <v>111</v>
      </c>
      <c r="K5" s="37" t="s">
        <v>112</v>
      </c>
      <c r="L5" s="37" t="s">
        <v>113</v>
      </c>
      <c r="M5" s="40" t="s">
        <v>86</v>
      </c>
      <c r="N5" s="40" t="s">
        <v>87</v>
      </c>
      <c r="O5" s="40" t="s">
        <v>88</v>
      </c>
      <c r="P5" s="40" t="s">
        <v>89</v>
      </c>
      <c r="Q5" s="40" t="s">
        <v>90</v>
      </c>
      <c r="R5" s="40" t="s">
        <v>91</v>
      </c>
      <c r="S5" s="40" t="s">
        <v>92</v>
      </c>
      <c r="T5" s="40" t="s">
        <v>93</v>
      </c>
      <c r="U5" s="40" t="s">
        <v>94</v>
      </c>
      <c r="V5" s="40" t="s">
        <v>95</v>
      </c>
      <c r="W5" s="42" t="s">
        <v>127</v>
      </c>
      <c r="X5" s="42" t="s">
        <v>126</v>
      </c>
      <c r="Y5" s="42" t="s">
        <v>128</v>
      </c>
      <c r="Z5" s="42" t="s">
        <v>129</v>
      </c>
      <c r="AA5" s="43" t="s">
        <v>135</v>
      </c>
      <c r="AB5" s="42" t="s">
        <v>130</v>
      </c>
      <c r="AC5" s="42" t="s">
        <v>131</v>
      </c>
      <c r="AD5" s="42" t="s">
        <v>132</v>
      </c>
      <c r="AE5" s="42" t="s">
        <v>133</v>
      </c>
      <c r="AF5" s="43" t="s">
        <v>134</v>
      </c>
      <c r="AG5" s="45" t="s">
        <v>96</v>
      </c>
      <c r="AH5" s="45" t="s">
        <v>97</v>
      </c>
      <c r="AI5" s="45" t="s">
        <v>98</v>
      </c>
      <c r="AJ5" s="45" t="s">
        <v>99</v>
      </c>
      <c r="AK5" s="46" t="s">
        <v>100</v>
      </c>
      <c r="AL5" s="45" t="s">
        <v>101</v>
      </c>
      <c r="AM5" s="45" t="s">
        <v>102</v>
      </c>
      <c r="AN5" s="45" t="s">
        <v>103</v>
      </c>
      <c r="AO5" s="45" t="s">
        <v>104</v>
      </c>
      <c r="AP5" s="46" t="s">
        <v>105</v>
      </c>
      <c r="AQ5" s="15"/>
    </row>
    <row r="6" spans="1:43" s="20" customFormat="1" ht="36.6" customHeight="1" x14ac:dyDescent="0.25">
      <c r="A6" s="133"/>
      <c r="B6" s="17" t="s">
        <v>67</v>
      </c>
      <c r="C6" s="38">
        <v>10</v>
      </c>
      <c r="D6" s="38">
        <v>30</v>
      </c>
      <c r="E6" s="38">
        <v>60</v>
      </c>
      <c r="F6" s="38">
        <v>90</v>
      </c>
      <c r="G6" s="38">
        <v>120</v>
      </c>
      <c r="H6" s="39">
        <v>0</v>
      </c>
      <c r="I6" s="39">
        <v>20</v>
      </c>
      <c r="J6" s="39">
        <v>60</v>
      </c>
      <c r="K6" s="39">
        <v>130</v>
      </c>
      <c r="L6" s="39">
        <v>180</v>
      </c>
      <c r="M6" s="41">
        <v>10</v>
      </c>
      <c r="N6" s="41">
        <v>10</v>
      </c>
      <c r="O6" s="41">
        <v>20</v>
      </c>
      <c r="P6" s="41">
        <v>30</v>
      </c>
      <c r="Q6" s="41">
        <v>40</v>
      </c>
      <c r="R6" s="41">
        <v>10</v>
      </c>
      <c r="S6" s="41">
        <v>20</v>
      </c>
      <c r="T6" s="41">
        <v>40</v>
      </c>
      <c r="U6" s="41">
        <v>60</v>
      </c>
      <c r="V6" s="41">
        <v>80</v>
      </c>
      <c r="W6" s="44">
        <v>20</v>
      </c>
      <c r="X6" s="44">
        <v>40</v>
      </c>
      <c r="Y6" s="44">
        <v>120</v>
      </c>
      <c r="Z6" s="44">
        <v>160</v>
      </c>
      <c r="AA6" s="44">
        <v>240</v>
      </c>
      <c r="AB6" s="44">
        <v>0</v>
      </c>
      <c r="AC6" s="44">
        <v>40</v>
      </c>
      <c r="AD6" s="44">
        <v>120</v>
      </c>
      <c r="AE6" s="44">
        <v>160</v>
      </c>
      <c r="AF6" s="44">
        <v>240</v>
      </c>
      <c r="AG6" s="18">
        <v>0</v>
      </c>
      <c r="AH6" s="18">
        <v>10</v>
      </c>
      <c r="AI6" s="18">
        <v>20</v>
      </c>
      <c r="AJ6" s="18">
        <v>30</v>
      </c>
      <c r="AK6" s="18">
        <v>40</v>
      </c>
      <c r="AL6" s="18">
        <v>0</v>
      </c>
      <c r="AM6" s="18">
        <v>10</v>
      </c>
      <c r="AN6" s="18">
        <v>20</v>
      </c>
      <c r="AO6" s="18">
        <v>40</v>
      </c>
      <c r="AP6" s="18">
        <v>60</v>
      </c>
      <c r="AQ6" s="19"/>
    </row>
    <row r="7" spans="1:43" s="25" customFormat="1" ht="41.45" customHeight="1" x14ac:dyDescent="0.25">
      <c r="A7" s="21">
        <v>1</v>
      </c>
      <c r="B7" s="22" t="s">
        <v>15</v>
      </c>
      <c r="C7" s="23">
        <v>0</v>
      </c>
      <c r="D7" s="23">
        <v>0</v>
      </c>
      <c r="E7" s="23">
        <v>0</v>
      </c>
      <c r="F7" s="23">
        <v>0</v>
      </c>
      <c r="G7" s="23">
        <v>120</v>
      </c>
      <c r="H7" s="23">
        <v>0</v>
      </c>
      <c r="I7" s="23">
        <v>0</v>
      </c>
      <c r="J7" s="23">
        <v>60</v>
      </c>
      <c r="K7" s="23">
        <v>0</v>
      </c>
      <c r="L7" s="23">
        <v>0</v>
      </c>
      <c r="M7" s="23">
        <v>0</v>
      </c>
      <c r="N7" s="23">
        <v>10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60</v>
      </c>
      <c r="V7" s="23">
        <v>0</v>
      </c>
      <c r="W7" s="23">
        <v>0</v>
      </c>
      <c r="X7" s="23">
        <v>0</v>
      </c>
      <c r="Y7" s="23">
        <v>0</v>
      </c>
      <c r="Z7" s="23">
        <v>160</v>
      </c>
      <c r="AA7" s="23">
        <v>0</v>
      </c>
      <c r="AB7" s="23">
        <v>0</v>
      </c>
      <c r="AC7" s="23">
        <v>0</v>
      </c>
      <c r="AD7" s="23">
        <v>0</v>
      </c>
      <c r="AE7" s="23">
        <v>160</v>
      </c>
      <c r="AF7" s="23">
        <v>0</v>
      </c>
      <c r="AG7" s="23">
        <v>0</v>
      </c>
      <c r="AH7" s="23">
        <v>0</v>
      </c>
      <c r="AI7" s="23">
        <v>0</v>
      </c>
      <c r="AJ7" s="23">
        <v>30</v>
      </c>
      <c r="AK7" s="23">
        <v>0</v>
      </c>
      <c r="AL7" s="23">
        <v>0</v>
      </c>
      <c r="AM7" s="23">
        <v>10</v>
      </c>
      <c r="AN7" s="23">
        <v>0</v>
      </c>
      <c r="AO7" s="23">
        <v>0</v>
      </c>
      <c r="AP7" s="23">
        <v>0</v>
      </c>
      <c r="AQ7" s="24">
        <f t="shared" ref="AQ7:AQ9" si="0">SUM(C7:AP7)</f>
        <v>610</v>
      </c>
    </row>
    <row r="8" spans="1:43" s="25" customFormat="1" ht="41.45" customHeight="1" x14ac:dyDescent="0.25">
      <c r="A8" s="21">
        <v>2</v>
      </c>
      <c r="B8" s="22" t="s">
        <v>16</v>
      </c>
      <c r="C8" s="23">
        <v>0</v>
      </c>
      <c r="D8" s="23">
        <v>0</v>
      </c>
      <c r="E8" s="23">
        <v>0</v>
      </c>
      <c r="F8" s="23">
        <v>90</v>
      </c>
      <c r="G8" s="23">
        <v>0</v>
      </c>
      <c r="H8" s="23">
        <v>0</v>
      </c>
      <c r="I8" s="23">
        <v>20</v>
      </c>
      <c r="J8" s="23"/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30</v>
      </c>
      <c r="Q8" s="23">
        <v>0</v>
      </c>
      <c r="R8" s="23">
        <v>0</v>
      </c>
      <c r="S8" s="23">
        <v>0</v>
      </c>
      <c r="T8" s="23">
        <v>40</v>
      </c>
      <c r="U8" s="23">
        <v>0</v>
      </c>
      <c r="V8" s="23">
        <v>0</v>
      </c>
      <c r="W8" s="23">
        <v>0</v>
      </c>
      <c r="X8" s="23">
        <v>0</v>
      </c>
      <c r="Y8" s="23">
        <v>120</v>
      </c>
      <c r="Z8" s="23">
        <v>0</v>
      </c>
      <c r="AA8" s="23">
        <v>0</v>
      </c>
      <c r="AB8" s="23">
        <v>0</v>
      </c>
      <c r="AC8" s="23">
        <v>0</v>
      </c>
      <c r="AD8" s="23">
        <v>120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30</v>
      </c>
      <c r="AK8" s="23">
        <v>0</v>
      </c>
      <c r="AL8" s="23">
        <v>0</v>
      </c>
      <c r="AM8" s="23">
        <v>10</v>
      </c>
      <c r="AN8" s="23">
        <v>0</v>
      </c>
      <c r="AO8" s="23">
        <v>0</v>
      </c>
      <c r="AP8" s="23">
        <v>0</v>
      </c>
      <c r="AQ8" s="24">
        <f t="shared" si="0"/>
        <v>460</v>
      </c>
    </row>
    <row r="9" spans="1:43" s="26" customFormat="1" ht="41.45" customHeight="1" x14ac:dyDescent="0.25">
      <c r="A9" s="21">
        <v>3</v>
      </c>
      <c r="B9" s="22" t="s">
        <v>17</v>
      </c>
      <c r="C9" s="23">
        <v>10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40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20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40</v>
      </c>
      <c r="AL9" s="23">
        <v>0</v>
      </c>
      <c r="AM9" s="23">
        <v>0</v>
      </c>
      <c r="AN9" s="23">
        <v>0</v>
      </c>
      <c r="AO9" s="23">
        <v>0</v>
      </c>
      <c r="AP9" s="23">
        <v>60</v>
      </c>
      <c r="AQ9" s="24">
        <f t="shared" si="0"/>
        <v>170</v>
      </c>
    </row>
    <row r="10" spans="1:43" s="28" customFormat="1" ht="41.45" customHeight="1" x14ac:dyDescent="0.25"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43" ht="15" customHeight="1" x14ac:dyDescent="0.25">
      <c r="B11" s="47"/>
    </row>
  </sheetData>
  <mergeCells count="17">
    <mergeCell ref="AG4:AK4"/>
    <mergeCell ref="A1:AQ1"/>
    <mergeCell ref="B2:AQ2"/>
    <mergeCell ref="A3:A6"/>
    <mergeCell ref="B3:B4"/>
    <mergeCell ref="C3:L3"/>
    <mergeCell ref="M3:V3"/>
    <mergeCell ref="W3:AF3"/>
    <mergeCell ref="AG3:AP3"/>
    <mergeCell ref="AQ3:AQ4"/>
    <mergeCell ref="C4:G4"/>
    <mergeCell ref="AL4:AP4"/>
    <mergeCell ref="H4:L4"/>
    <mergeCell ref="M4:Q4"/>
    <mergeCell ref="R4:V4"/>
    <mergeCell ref="W4:AA4"/>
    <mergeCell ref="AB4:AF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EABA-7EC7-48A7-AD4A-C48DFF2CDBEA}">
  <dimension ref="B2:M17"/>
  <sheetViews>
    <sheetView showGridLines="0" workbookViewId="0">
      <selection activeCell="H18" sqref="H18"/>
    </sheetView>
  </sheetViews>
  <sheetFormatPr defaultRowHeight="15" x14ac:dyDescent="0.25"/>
  <cols>
    <col min="2" max="2" width="4.140625" bestFit="1" customWidth="1"/>
    <col min="3" max="3" width="11.42578125" bestFit="1" customWidth="1"/>
    <col min="4" max="4" width="15.7109375" bestFit="1" customWidth="1"/>
    <col min="5" max="5" width="19.42578125" bestFit="1" customWidth="1"/>
    <col min="6" max="6" width="4.42578125" bestFit="1" customWidth="1"/>
    <col min="7" max="7" width="13.28515625" bestFit="1" customWidth="1"/>
    <col min="8" max="8" width="15.7109375" bestFit="1" customWidth="1"/>
    <col min="9" max="9" width="8.140625" bestFit="1" customWidth="1"/>
    <col min="10" max="10" width="7.85546875" bestFit="1" customWidth="1"/>
    <col min="11" max="11" width="6.42578125" bestFit="1" customWidth="1"/>
    <col min="12" max="12" width="7.7109375" bestFit="1" customWidth="1"/>
    <col min="13" max="13" width="17.5703125" bestFit="1" customWidth="1"/>
  </cols>
  <sheetData>
    <row r="2" spans="2:13" x14ac:dyDescent="0.25">
      <c r="B2" s="162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2:13" x14ac:dyDescent="0.25"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spans="2:13" x14ac:dyDescent="0.25">
      <c r="B4" s="2" t="s">
        <v>12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11</v>
      </c>
      <c r="M4" s="2" t="s">
        <v>10</v>
      </c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6" spans="2:13" x14ac:dyDescent="0.25">
      <c r="C16" t="s">
        <v>18</v>
      </c>
    </row>
    <row r="17" spans="3:3" x14ac:dyDescent="0.25">
      <c r="C17" t="s">
        <v>51</v>
      </c>
    </row>
  </sheetData>
  <mergeCells count="1">
    <mergeCell ref="B2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A56B-84E1-4345-B165-B16F9CB5B8EE}">
  <dimension ref="A1:D6"/>
  <sheetViews>
    <sheetView showGridLines="0" workbookViewId="0">
      <selection activeCell="F3" sqref="F3"/>
    </sheetView>
  </sheetViews>
  <sheetFormatPr defaultColWidth="11.42578125" defaultRowHeight="15" x14ac:dyDescent="0.25"/>
  <cols>
    <col min="1" max="1" width="15.140625" style="29" customWidth="1"/>
    <col min="2" max="2" width="14" style="29" customWidth="1"/>
    <col min="3" max="3" width="23.5703125" style="29" customWidth="1"/>
    <col min="4" max="4" width="15.85546875" style="29" customWidth="1"/>
    <col min="5" max="16384" width="11.42578125" style="29"/>
  </cols>
  <sheetData>
    <row r="1" spans="1:4" s="96" customFormat="1" ht="33" customHeight="1" x14ac:dyDescent="0.25">
      <c r="A1" s="163" t="s">
        <v>187</v>
      </c>
      <c r="B1" s="163"/>
      <c r="C1" s="163"/>
      <c r="D1" s="163"/>
    </row>
    <row r="2" spans="1:4" s="90" customFormat="1" ht="33.950000000000003" customHeight="1" x14ac:dyDescent="0.3">
      <c r="A2" s="166" t="s">
        <v>186</v>
      </c>
      <c r="B2" s="164" t="s">
        <v>185</v>
      </c>
      <c r="C2" s="164" t="s">
        <v>184</v>
      </c>
      <c r="D2" s="92" t="s">
        <v>183</v>
      </c>
    </row>
    <row r="3" spans="1:4" s="90" customFormat="1" ht="33.950000000000003" customHeight="1" x14ac:dyDescent="0.3">
      <c r="A3" s="167"/>
      <c r="B3" s="165"/>
      <c r="C3" s="165"/>
      <c r="D3" s="92" t="s">
        <v>182</v>
      </c>
    </row>
    <row r="4" spans="1:4" s="90" customFormat="1" ht="33.950000000000003" customHeight="1" x14ac:dyDescent="0.3">
      <c r="A4" s="93" t="s">
        <v>188</v>
      </c>
      <c r="B4" s="94">
        <v>1</v>
      </c>
      <c r="C4" s="95" t="s">
        <v>179</v>
      </c>
      <c r="D4" s="91">
        <v>1</v>
      </c>
    </row>
    <row r="5" spans="1:4" s="90" customFormat="1" ht="33.950000000000003" customHeight="1" x14ac:dyDescent="0.3">
      <c r="A5" s="93" t="s">
        <v>180</v>
      </c>
      <c r="B5" s="92">
        <v>2</v>
      </c>
      <c r="C5" s="95" t="s">
        <v>16</v>
      </c>
      <c r="D5" s="91">
        <v>0.75</v>
      </c>
    </row>
    <row r="6" spans="1:4" s="90" customFormat="1" ht="33.950000000000003" customHeight="1" x14ac:dyDescent="0.3">
      <c r="A6" s="93" t="s">
        <v>189</v>
      </c>
      <c r="B6" s="94">
        <v>1</v>
      </c>
      <c r="C6" s="95" t="s">
        <v>181</v>
      </c>
      <c r="D6" s="91">
        <v>0.4</v>
      </c>
    </row>
  </sheetData>
  <mergeCells count="4">
    <mergeCell ref="A1:D1"/>
    <mergeCell ref="B2:B3"/>
    <mergeCell ref="C2:C3"/>
    <mergeCell ref="A2:A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CC04-9B31-4F8C-B5F8-4539031DD782}">
  <dimension ref="A1:H7"/>
  <sheetViews>
    <sheetView showGridLines="0" topLeftCell="A4" workbookViewId="0">
      <selection activeCell="G3" sqref="G3"/>
    </sheetView>
  </sheetViews>
  <sheetFormatPr defaultColWidth="11.42578125" defaultRowHeight="15" x14ac:dyDescent="0.25"/>
  <cols>
    <col min="1" max="1" width="14" style="29" customWidth="1"/>
    <col min="2" max="2" width="23.5703125" style="29" customWidth="1"/>
    <col min="3" max="3" width="15.85546875" style="29" customWidth="1"/>
    <col min="4" max="6" width="21.42578125" style="29" customWidth="1"/>
    <col min="7" max="7" width="11.42578125" style="29"/>
    <col min="8" max="8" width="17.5703125" style="29" bestFit="1" customWidth="1"/>
    <col min="9" max="256" width="11.42578125" style="29"/>
    <col min="257" max="257" width="14" style="29" customWidth="1"/>
    <col min="258" max="258" width="23.5703125" style="29" customWidth="1"/>
    <col min="259" max="259" width="15.85546875" style="29" customWidth="1"/>
    <col min="260" max="262" width="21.42578125" style="29" customWidth="1"/>
    <col min="263" max="263" width="11.42578125" style="29"/>
    <col min="264" max="264" width="17.5703125" style="29" bestFit="1" customWidth="1"/>
    <col min="265" max="512" width="11.42578125" style="29"/>
    <col min="513" max="513" width="14" style="29" customWidth="1"/>
    <col min="514" max="514" width="23.5703125" style="29" customWidth="1"/>
    <col min="515" max="515" width="15.85546875" style="29" customWidth="1"/>
    <col min="516" max="518" width="21.42578125" style="29" customWidth="1"/>
    <col min="519" max="519" width="11.42578125" style="29"/>
    <col min="520" max="520" width="17.5703125" style="29" bestFit="1" customWidth="1"/>
    <col min="521" max="768" width="11.42578125" style="29"/>
    <col min="769" max="769" width="14" style="29" customWidth="1"/>
    <col min="770" max="770" width="23.5703125" style="29" customWidth="1"/>
    <col min="771" max="771" width="15.85546875" style="29" customWidth="1"/>
    <col min="772" max="774" width="21.42578125" style="29" customWidth="1"/>
    <col min="775" max="775" width="11.42578125" style="29"/>
    <col min="776" max="776" width="17.5703125" style="29" bestFit="1" customWidth="1"/>
    <col min="777" max="1024" width="11.42578125" style="29"/>
    <col min="1025" max="1025" width="14" style="29" customWidth="1"/>
    <col min="1026" max="1026" width="23.5703125" style="29" customWidth="1"/>
    <col min="1027" max="1027" width="15.85546875" style="29" customWidth="1"/>
    <col min="1028" max="1030" width="21.42578125" style="29" customWidth="1"/>
    <col min="1031" max="1031" width="11.42578125" style="29"/>
    <col min="1032" max="1032" width="17.5703125" style="29" bestFit="1" customWidth="1"/>
    <col min="1033" max="1280" width="11.42578125" style="29"/>
    <col min="1281" max="1281" width="14" style="29" customWidth="1"/>
    <col min="1282" max="1282" width="23.5703125" style="29" customWidth="1"/>
    <col min="1283" max="1283" width="15.85546875" style="29" customWidth="1"/>
    <col min="1284" max="1286" width="21.42578125" style="29" customWidth="1"/>
    <col min="1287" max="1287" width="11.42578125" style="29"/>
    <col min="1288" max="1288" width="17.5703125" style="29" bestFit="1" customWidth="1"/>
    <col min="1289" max="1536" width="11.42578125" style="29"/>
    <col min="1537" max="1537" width="14" style="29" customWidth="1"/>
    <col min="1538" max="1538" width="23.5703125" style="29" customWidth="1"/>
    <col min="1539" max="1539" width="15.85546875" style="29" customWidth="1"/>
    <col min="1540" max="1542" width="21.42578125" style="29" customWidth="1"/>
    <col min="1543" max="1543" width="11.42578125" style="29"/>
    <col min="1544" max="1544" width="17.5703125" style="29" bestFit="1" customWidth="1"/>
    <col min="1545" max="1792" width="11.42578125" style="29"/>
    <col min="1793" max="1793" width="14" style="29" customWidth="1"/>
    <col min="1794" max="1794" width="23.5703125" style="29" customWidth="1"/>
    <col min="1795" max="1795" width="15.85546875" style="29" customWidth="1"/>
    <col min="1796" max="1798" width="21.42578125" style="29" customWidth="1"/>
    <col min="1799" max="1799" width="11.42578125" style="29"/>
    <col min="1800" max="1800" width="17.5703125" style="29" bestFit="1" customWidth="1"/>
    <col min="1801" max="2048" width="11.42578125" style="29"/>
    <col min="2049" max="2049" width="14" style="29" customWidth="1"/>
    <col min="2050" max="2050" width="23.5703125" style="29" customWidth="1"/>
    <col min="2051" max="2051" width="15.85546875" style="29" customWidth="1"/>
    <col min="2052" max="2054" width="21.42578125" style="29" customWidth="1"/>
    <col min="2055" max="2055" width="11.42578125" style="29"/>
    <col min="2056" max="2056" width="17.5703125" style="29" bestFit="1" customWidth="1"/>
    <col min="2057" max="2304" width="11.42578125" style="29"/>
    <col min="2305" max="2305" width="14" style="29" customWidth="1"/>
    <col min="2306" max="2306" width="23.5703125" style="29" customWidth="1"/>
    <col min="2307" max="2307" width="15.85546875" style="29" customWidth="1"/>
    <col min="2308" max="2310" width="21.42578125" style="29" customWidth="1"/>
    <col min="2311" max="2311" width="11.42578125" style="29"/>
    <col min="2312" max="2312" width="17.5703125" style="29" bestFit="1" customWidth="1"/>
    <col min="2313" max="2560" width="11.42578125" style="29"/>
    <col min="2561" max="2561" width="14" style="29" customWidth="1"/>
    <col min="2562" max="2562" width="23.5703125" style="29" customWidth="1"/>
    <col min="2563" max="2563" width="15.85546875" style="29" customWidth="1"/>
    <col min="2564" max="2566" width="21.42578125" style="29" customWidth="1"/>
    <col min="2567" max="2567" width="11.42578125" style="29"/>
    <col min="2568" max="2568" width="17.5703125" style="29" bestFit="1" customWidth="1"/>
    <col min="2569" max="2816" width="11.42578125" style="29"/>
    <col min="2817" max="2817" width="14" style="29" customWidth="1"/>
    <col min="2818" max="2818" width="23.5703125" style="29" customWidth="1"/>
    <col min="2819" max="2819" width="15.85546875" style="29" customWidth="1"/>
    <col min="2820" max="2822" width="21.42578125" style="29" customWidth="1"/>
    <col min="2823" max="2823" width="11.42578125" style="29"/>
    <col min="2824" max="2824" width="17.5703125" style="29" bestFit="1" customWidth="1"/>
    <col min="2825" max="3072" width="11.42578125" style="29"/>
    <col min="3073" max="3073" width="14" style="29" customWidth="1"/>
    <col min="3074" max="3074" width="23.5703125" style="29" customWidth="1"/>
    <col min="3075" max="3075" width="15.85546875" style="29" customWidth="1"/>
    <col min="3076" max="3078" width="21.42578125" style="29" customWidth="1"/>
    <col min="3079" max="3079" width="11.42578125" style="29"/>
    <col min="3080" max="3080" width="17.5703125" style="29" bestFit="1" customWidth="1"/>
    <col min="3081" max="3328" width="11.42578125" style="29"/>
    <col min="3329" max="3329" width="14" style="29" customWidth="1"/>
    <col min="3330" max="3330" width="23.5703125" style="29" customWidth="1"/>
    <col min="3331" max="3331" width="15.85546875" style="29" customWidth="1"/>
    <col min="3332" max="3334" width="21.42578125" style="29" customWidth="1"/>
    <col min="3335" max="3335" width="11.42578125" style="29"/>
    <col min="3336" max="3336" width="17.5703125" style="29" bestFit="1" customWidth="1"/>
    <col min="3337" max="3584" width="11.42578125" style="29"/>
    <col min="3585" max="3585" width="14" style="29" customWidth="1"/>
    <col min="3586" max="3586" width="23.5703125" style="29" customWidth="1"/>
    <col min="3587" max="3587" width="15.85546875" style="29" customWidth="1"/>
    <col min="3588" max="3590" width="21.42578125" style="29" customWidth="1"/>
    <col min="3591" max="3591" width="11.42578125" style="29"/>
    <col min="3592" max="3592" width="17.5703125" style="29" bestFit="1" customWidth="1"/>
    <col min="3593" max="3840" width="11.42578125" style="29"/>
    <col min="3841" max="3841" width="14" style="29" customWidth="1"/>
    <col min="3842" max="3842" width="23.5703125" style="29" customWidth="1"/>
    <col min="3843" max="3843" width="15.85546875" style="29" customWidth="1"/>
    <col min="3844" max="3846" width="21.42578125" style="29" customWidth="1"/>
    <col min="3847" max="3847" width="11.42578125" style="29"/>
    <col min="3848" max="3848" width="17.5703125" style="29" bestFit="1" customWidth="1"/>
    <col min="3849" max="4096" width="11.42578125" style="29"/>
    <col min="4097" max="4097" width="14" style="29" customWidth="1"/>
    <col min="4098" max="4098" width="23.5703125" style="29" customWidth="1"/>
    <col min="4099" max="4099" width="15.85546875" style="29" customWidth="1"/>
    <col min="4100" max="4102" width="21.42578125" style="29" customWidth="1"/>
    <col min="4103" max="4103" width="11.42578125" style="29"/>
    <col min="4104" max="4104" width="17.5703125" style="29" bestFit="1" customWidth="1"/>
    <col min="4105" max="4352" width="11.42578125" style="29"/>
    <col min="4353" max="4353" width="14" style="29" customWidth="1"/>
    <col min="4354" max="4354" width="23.5703125" style="29" customWidth="1"/>
    <col min="4355" max="4355" width="15.85546875" style="29" customWidth="1"/>
    <col min="4356" max="4358" width="21.42578125" style="29" customWidth="1"/>
    <col min="4359" max="4359" width="11.42578125" style="29"/>
    <col min="4360" max="4360" width="17.5703125" style="29" bestFit="1" customWidth="1"/>
    <col min="4361" max="4608" width="11.42578125" style="29"/>
    <col min="4609" max="4609" width="14" style="29" customWidth="1"/>
    <col min="4610" max="4610" width="23.5703125" style="29" customWidth="1"/>
    <col min="4611" max="4611" width="15.85546875" style="29" customWidth="1"/>
    <col min="4612" max="4614" width="21.42578125" style="29" customWidth="1"/>
    <col min="4615" max="4615" width="11.42578125" style="29"/>
    <col min="4616" max="4616" width="17.5703125" style="29" bestFit="1" customWidth="1"/>
    <col min="4617" max="4864" width="11.42578125" style="29"/>
    <col min="4865" max="4865" width="14" style="29" customWidth="1"/>
    <col min="4866" max="4866" width="23.5703125" style="29" customWidth="1"/>
    <col min="4867" max="4867" width="15.85546875" style="29" customWidth="1"/>
    <col min="4868" max="4870" width="21.42578125" style="29" customWidth="1"/>
    <col min="4871" max="4871" width="11.42578125" style="29"/>
    <col min="4872" max="4872" width="17.5703125" style="29" bestFit="1" customWidth="1"/>
    <col min="4873" max="5120" width="11.42578125" style="29"/>
    <col min="5121" max="5121" width="14" style="29" customWidth="1"/>
    <col min="5122" max="5122" width="23.5703125" style="29" customWidth="1"/>
    <col min="5123" max="5123" width="15.85546875" style="29" customWidth="1"/>
    <col min="5124" max="5126" width="21.42578125" style="29" customWidth="1"/>
    <col min="5127" max="5127" width="11.42578125" style="29"/>
    <col min="5128" max="5128" width="17.5703125" style="29" bestFit="1" customWidth="1"/>
    <col min="5129" max="5376" width="11.42578125" style="29"/>
    <col min="5377" max="5377" width="14" style="29" customWidth="1"/>
    <col min="5378" max="5378" width="23.5703125" style="29" customWidth="1"/>
    <col min="5379" max="5379" width="15.85546875" style="29" customWidth="1"/>
    <col min="5380" max="5382" width="21.42578125" style="29" customWidth="1"/>
    <col min="5383" max="5383" width="11.42578125" style="29"/>
    <col min="5384" max="5384" width="17.5703125" style="29" bestFit="1" customWidth="1"/>
    <col min="5385" max="5632" width="11.42578125" style="29"/>
    <col min="5633" max="5633" width="14" style="29" customWidth="1"/>
    <col min="5634" max="5634" width="23.5703125" style="29" customWidth="1"/>
    <col min="5635" max="5635" width="15.85546875" style="29" customWidth="1"/>
    <col min="5636" max="5638" width="21.42578125" style="29" customWidth="1"/>
    <col min="5639" max="5639" width="11.42578125" style="29"/>
    <col min="5640" max="5640" width="17.5703125" style="29" bestFit="1" customWidth="1"/>
    <col min="5641" max="5888" width="11.42578125" style="29"/>
    <col min="5889" max="5889" width="14" style="29" customWidth="1"/>
    <col min="5890" max="5890" width="23.5703125" style="29" customWidth="1"/>
    <col min="5891" max="5891" width="15.85546875" style="29" customWidth="1"/>
    <col min="5892" max="5894" width="21.42578125" style="29" customWidth="1"/>
    <col min="5895" max="5895" width="11.42578125" style="29"/>
    <col min="5896" max="5896" width="17.5703125" style="29" bestFit="1" customWidth="1"/>
    <col min="5897" max="6144" width="11.42578125" style="29"/>
    <col min="6145" max="6145" width="14" style="29" customWidth="1"/>
    <col min="6146" max="6146" width="23.5703125" style="29" customWidth="1"/>
    <col min="6147" max="6147" width="15.85546875" style="29" customWidth="1"/>
    <col min="6148" max="6150" width="21.42578125" style="29" customWidth="1"/>
    <col min="6151" max="6151" width="11.42578125" style="29"/>
    <col min="6152" max="6152" width="17.5703125" style="29" bestFit="1" customWidth="1"/>
    <col min="6153" max="6400" width="11.42578125" style="29"/>
    <col min="6401" max="6401" width="14" style="29" customWidth="1"/>
    <col min="6402" max="6402" width="23.5703125" style="29" customWidth="1"/>
    <col min="6403" max="6403" width="15.85546875" style="29" customWidth="1"/>
    <col min="6404" max="6406" width="21.42578125" style="29" customWidth="1"/>
    <col min="6407" max="6407" width="11.42578125" style="29"/>
    <col min="6408" max="6408" width="17.5703125" style="29" bestFit="1" customWidth="1"/>
    <col min="6409" max="6656" width="11.42578125" style="29"/>
    <col min="6657" max="6657" width="14" style="29" customWidth="1"/>
    <col min="6658" max="6658" width="23.5703125" style="29" customWidth="1"/>
    <col min="6659" max="6659" width="15.85546875" style="29" customWidth="1"/>
    <col min="6660" max="6662" width="21.42578125" style="29" customWidth="1"/>
    <col min="6663" max="6663" width="11.42578125" style="29"/>
    <col min="6664" max="6664" width="17.5703125" style="29" bestFit="1" customWidth="1"/>
    <col min="6665" max="6912" width="11.42578125" style="29"/>
    <col min="6913" max="6913" width="14" style="29" customWidth="1"/>
    <col min="6914" max="6914" width="23.5703125" style="29" customWidth="1"/>
    <col min="6915" max="6915" width="15.85546875" style="29" customWidth="1"/>
    <col min="6916" max="6918" width="21.42578125" style="29" customWidth="1"/>
    <col min="6919" max="6919" width="11.42578125" style="29"/>
    <col min="6920" max="6920" width="17.5703125" style="29" bestFit="1" customWidth="1"/>
    <col min="6921" max="7168" width="11.42578125" style="29"/>
    <col min="7169" max="7169" width="14" style="29" customWidth="1"/>
    <col min="7170" max="7170" width="23.5703125" style="29" customWidth="1"/>
    <col min="7171" max="7171" width="15.85546875" style="29" customWidth="1"/>
    <col min="7172" max="7174" width="21.42578125" style="29" customWidth="1"/>
    <col min="7175" max="7175" width="11.42578125" style="29"/>
    <col min="7176" max="7176" width="17.5703125" style="29" bestFit="1" customWidth="1"/>
    <col min="7177" max="7424" width="11.42578125" style="29"/>
    <col min="7425" max="7425" width="14" style="29" customWidth="1"/>
    <col min="7426" max="7426" width="23.5703125" style="29" customWidth="1"/>
    <col min="7427" max="7427" width="15.85546875" style="29" customWidth="1"/>
    <col min="7428" max="7430" width="21.42578125" style="29" customWidth="1"/>
    <col min="7431" max="7431" width="11.42578125" style="29"/>
    <col min="7432" max="7432" width="17.5703125" style="29" bestFit="1" customWidth="1"/>
    <col min="7433" max="7680" width="11.42578125" style="29"/>
    <col min="7681" max="7681" width="14" style="29" customWidth="1"/>
    <col min="7682" max="7682" width="23.5703125" style="29" customWidth="1"/>
    <col min="7683" max="7683" width="15.85546875" style="29" customWidth="1"/>
    <col min="7684" max="7686" width="21.42578125" style="29" customWidth="1"/>
    <col min="7687" max="7687" width="11.42578125" style="29"/>
    <col min="7688" max="7688" width="17.5703125" style="29" bestFit="1" customWidth="1"/>
    <col min="7689" max="7936" width="11.42578125" style="29"/>
    <col min="7937" max="7937" width="14" style="29" customWidth="1"/>
    <col min="7938" max="7938" width="23.5703125" style="29" customWidth="1"/>
    <col min="7939" max="7939" width="15.85546875" style="29" customWidth="1"/>
    <col min="7940" max="7942" width="21.42578125" style="29" customWidth="1"/>
    <col min="7943" max="7943" width="11.42578125" style="29"/>
    <col min="7944" max="7944" width="17.5703125" style="29" bestFit="1" customWidth="1"/>
    <col min="7945" max="8192" width="11.42578125" style="29"/>
    <col min="8193" max="8193" width="14" style="29" customWidth="1"/>
    <col min="8194" max="8194" width="23.5703125" style="29" customWidth="1"/>
    <col min="8195" max="8195" width="15.85546875" style="29" customWidth="1"/>
    <col min="8196" max="8198" width="21.42578125" style="29" customWidth="1"/>
    <col min="8199" max="8199" width="11.42578125" style="29"/>
    <col min="8200" max="8200" width="17.5703125" style="29" bestFit="1" customWidth="1"/>
    <col min="8201" max="8448" width="11.42578125" style="29"/>
    <col min="8449" max="8449" width="14" style="29" customWidth="1"/>
    <col min="8450" max="8450" width="23.5703125" style="29" customWidth="1"/>
    <col min="8451" max="8451" width="15.85546875" style="29" customWidth="1"/>
    <col min="8452" max="8454" width="21.42578125" style="29" customWidth="1"/>
    <col min="8455" max="8455" width="11.42578125" style="29"/>
    <col min="8456" max="8456" width="17.5703125" style="29" bestFit="1" customWidth="1"/>
    <col min="8457" max="8704" width="11.42578125" style="29"/>
    <col min="8705" max="8705" width="14" style="29" customWidth="1"/>
    <col min="8706" max="8706" width="23.5703125" style="29" customWidth="1"/>
    <col min="8707" max="8707" width="15.85546875" style="29" customWidth="1"/>
    <col min="8708" max="8710" width="21.42578125" style="29" customWidth="1"/>
    <col min="8711" max="8711" width="11.42578125" style="29"/>
    <col min="8712" max="8712" width="17.5703125" style="29" bestFit="1" customWidth="1"/>
    <col min="8713" max="8960" width="11.42578125" style="29"/>
    <col min="8961" max="8961" width="14" style="29" customWidth="1"/>
    <col min="8962" max="8962" width="23.5703125" style="29" customWidth="1"/>
    <col min="8963" max="8963" width="15.85546875" style="29" customWidth="1"/>
    <col min="8964" max="8966" width="21.42578125" style="29" customWidth="1"/>
    <col min="8967" max="8967" width="11.42578125" style="29"/>
    <col min="8968" max="8968" width="17.5703125" style="29" bestFit="1" customWidth="1"/>
    <col min="8969" max="9216" width="11.42578125" style="29"/>
    <col min="9217" max="9217" width="14" style="29" customWidth="1"/>
    <col min="9218" max="9218" width="23.5703125" style="29" customWidth="1"/>
    <col min="9219" max="9219" width="15.85546875" style="29" customWidth="1"/>
    <col min="9220" max="9222" width="21.42578125" style="29" customWidth="1"/>
    <col min="9223" max="9223" width="11.42578125" style="29"/>
    <col min="9224" max="9224" width="17.5703125" style="29" bestFit="1" customWidth="1"/>
    <col min="9225" max="9472" width="11.42578125" style="29"/>
    <col min="9473" max="9473" width="14" style="29" customWidth="1"/>
    <col min="9474" max="9474" width="23.5703125" style="29" customWidth="1"/>
    <col min="9475" max="9475" width="15.85546875" style="29" customWidth="1"/>
    <col min="9476" max="9478" width="21.42578125" style="29" customWidth="1"/>
    <col min="9479" max="9479" width="11.42578125" style="29"/>
    <col min="9480" max="9480" width="17.5703125" style="29" bestFit="1" customWidth="1"/>
    <col min="9481" max="9728" width="11.42578125" style="29"/>
    <col min="9729" max="9729" width="14" style="29" customWidth="1"/>
    <col min="9730" max="9730" width="23.5703125" style="29" customWidth="1"/>
    <col min="9731" max="9731" width="15.85546875" style="29" customWidth="1"/>
    <col min="9732" max="9734" width="21.42578125" style="29" customWidth="1"/>
    <col min="9735" max="9735" width="11.42578125" style="29"/>
    <col min="9736" max="9736" width="17.5703125" style="29" bestFit="1" customWidth="1"/>
    <col min="9737" max="9984" width="11.42578125" style="29"/>
    <col min="9985" max="9985" width="14" style="29" customWidth="1"/>
    <col min="9986" max="9986" width="23.5703125" style="29" customWidth="1"/>
    <col min="9987" max="9987" width="15.85546875" style="29" customWidth="1"/>
    <col min="9988" max="9990" width="21.42578125" style="29" customWidth="1"/>
    <col min="9991" max="9991" width="11.42578125" style="29"/>
    <col min="9992" max="9992" width="17.5703125" style="29" bestFit="1" customWidth="1"/>
    <col min="9993" max="10240" width="11.42578125" style="29"/>
    <col min="10241" max="10241" width="14" style="29" customWidth="1"/>
    <col min="10242" max="10242" width="23.5703125" style="29" customWidth="1"/>
    <col min="10243" max="10243" width="15.85546875" style="29" customWidth="1"/>
    <col min="10244" max="10246" width="21.42578125" style="29" customWidth="1"/>
    <col min="10247" max="10247" width="11.42578125" style="29"/>
    <col min="10248" max="10248" width="17.5703125" style="29" bestFit="1" customWidth="1"/>
    <col min="10249" max="10496" width="11.42578125" style="29"/>
    <col min="10497" max="10497" width="14" style="29" customWidth="1"/>
    <col min="10498" max="10498" width="23.5703125" style="29" customWidth="1"/>
    <col min="10499" max="10499" width="15.85546875" style="29" customWidth="1"/>
    <col min="10500" max="10502" width="21.42578125" style="29" customWidth="1"/>
    <col min="10503" max="10503" width="11.42578125" style="29"/>
    <col min="10504" max="10504" width="17.5703125" style="29" bestFit="1" customWidth="1"/>
    <col min="10505" max="10752" width="11.42578125" style="29"/>
    <col min="10753" max="10753" width="14" style="29" customWidth="1"/>
    <col min="10754" max="10754" width="23.5703125" style="29" customWidth="1"/>
    <col min="10755" max="10755" width="15.85546875" style="29" customWidth="1"/>
    <col min="10756" max="10758" width="21.42578125" style="29" customWidth="1"/>
    <col min="10759" max="10759" width="11.42578125" style="29"/>
    <col min="10760" max="10760" width="17.5703125" style="29" bestFit="1" customWidth="1"/>
    <col min="10761" max="11008" width="11.42578125" style="29"/>
    <col min="11009" max="11009" width="14" style="29" customWidth="1"/>
    <col min="11010" max="11010" width="23.5703125" style="29" customWidth="1"/>
    <col min="11011" max="11011" width="15.85546875" style="29" customWidth="1"/>
    <col min="11012" max="11014" width="21.42578125" style="29" customWidth="1"/>
    <col min="11015" max="11015" width="11.42578125" style="29"/>
    <col min="11016" max="11016" width="17.5703125" style="29" bestFit="1" customWidth="1"/>
    <col min="11017" max="11264" width="11.42578125" style="29"/>
    <col min="11265" max="11265" width="14" style="29" customWidth="1"/>
    <col min="11266" max="11266" width="23.5703125" style="29" customWidth="1"/>
    <col min="11267" max="11267" width="15.85546875" style="29" customWidth="1"/>
    <col min="11268" max="11270" width="21.42578125" style="29" customWidth="1"/>
    <col min="11271" max="11271" width="11.42578125" style="29"/>
    <col min="11272" max="11272" width="17.5703125" style="29" bestFit="1" customWidth="1"/>
    <col min="11273" max="11520" width="11.42578125" style="29"/>
    <col min="11521" max="11521" width="14" style="29" customWidth="1"/>
    <col min="11522" max="11522" width="23.5703125" style="29" customWidth="1"/>
    <col min="11523" max="11523" width="15.85546875" style="29" customWidth="1"/>
    <col min="11524" max="11526" width="21.42578125" style="29" customWidth="1"/>
    <col min="11527" max="11527" width="11.42578125" style="29"/>
    <col min="11528" max="11528" width="17.5703125" style="29" bestFit="1" customWidth="1"/>
    <col min="11529" max="11776" width="11.42578125" style="29"/>
    <col min="11777" max="11777" width="14" style="29" customWidth="1"/>
    <col min="11778" max="11778" width="23.5703125" style="29" customWidth="1"/>
    <col min="11779" max="11779" width="15.85546875" style="29" customWidth="1"/>
    <col min="11780" max="11782" width="21.42578125" style="29" customWidth="1"/>
    <col min="11783" max="11783" width="11.42578125" style="29"/>
    <col min="11784" max="11784" width="17.5703125" style="29" bestFit="1" customWidth="1"/>
    <col min="11785" max="12032" width="11.42578125" style="29"/>
    <col min="12033" max="12033" width="14" style="29" customWidth="1"/>
    <col min="12034" max="12034" width="23.5703125" style="29" customWidth="1"/>
    <col min="12035" max="12035" width="15.85546875" style="29" customWidth="1"/>
    <col min="12036" max="12038" width="21.42578125" style="29" customWidth="1"/>
    <col min="12039" max="12039" width="11.42578125" style="29"/>
    <col min="12040" max="12040" width="17.5703125" style="29" bestFit="1" customWidth="1"/>
    <col min="12041" max="12288" width="11.42578125" style="29"/>
    <col min="12289" max="12289" width="14" style="29" customWidth="1"/>
    <col min="12290" max="12290" width="23.5703125" style="29" customWidth="1"/>
    <col min="12291" max="12291" width="15.85546875" style="29" customWidth="1"/>
    <col min="12292" max="12294" width="21.42578125" style="29" customWidth="1"/>
    <col min="12295" max="12295" width="11.42578125" style="29"/>
    <col min="12296" max="12296" width="17.5703125" style="29" bestFit="1" customWidth="1"/>
    <col min="12297" max="12544" width="11.42578125" style="29"/>
    <col min="12545" max="12545" width="14" style="29" customWidth="1"/>
    <col min="12546" max="12546" width="23.5703125" style="29" customWidth="1"/>
    <col min="12547" max="12547" width="15.85546875" style="29" customWidth="1"/>
    <col min="12548" max="12550" width="21.42578125" style="29" customWidth="1"/>
    <col min="12551" max="12551" width="11.42578125" style="29"/>
    <col min="12552" max="12552" width="17.5703125" style="29" bestFit="1" customWidth="1"/>
    <col min="12553" max="12800" width="11.42578125" style="29"/>
    <col min="12801" max="12801" width="14" style="29" customWidth="1"/>
    <col min="12802" max="12802" width="23.5703125" style="29" customWidth="1"/>
    <col min="12803" max="12803" width="15.85546875" style="29" customWidth="1"/>
    <col min="12804" max="12806" width="21.42578125" style="29" customWidth="1"/>
    <col min="12807" max="12807" width="11.42578125" style="29"/>
    <col min="12808" max="12808" width="17.5703125" style="29" bestFit="1" customWidth="1"/>
    <col min="12809" max="13056" width="11.42578125" style="29"/>
    <col min="13057" max="13057" width="14" style="29" customWidth="1"/>
    <col min="13058" max="13058" width="23.5703125" style="29" customWidth="1"/>
    <col min="13059" max="13059" width="15.85546875" style="29" customWidth="1"/>
    <col min="13060" max="13062" width="21.42578125" style="29" customWidth="1"/>
    <col min="13063" max="13063" width="11.42578125" style="29"/>
    <col min="13064" max="13064" width="17.5703125" style="29" bestFit="1" customWidth="1"/>
    <col min="13065" max="13312" width="11.42578125" style="29"/>
    <col min="13313" max="13313" width="14" style="29" customWidth="1"/>
    <col min="13314" max="13314" width="23.5703125" style="29" customWidth="1"/>
    <col min="13315" max="13315" width="15.85546875" style="29" customWidth="1"/>
    <col min="13316" max="13318" width="21.42578125" style="29" customWidth="1"/>
    <col min="13319" max="13319" width="11.42578125" style="29"/>
    <col min="13320" max="13320" width="17.5703125" style="29" bestFit="1" customWidth="1"/>
    <col min="13321" max="13568" width="11.42578125" style="29"/>
    <col min="13569" max="13569" width="14" style="29" customWidth="1"/>
    <col min="13570" max="13570" width="23.5703125" style="29" customWidth="1"/>
    <col min="13571" max="13571" width="15.85546875" style="29" customWidth="1"/>
    <col min="13572" max="13574" width="21.42578125" style="29" customWidth="1"/>
    <col min="13575" max="13575" width="11.42578125" style="29"/>
    <col min="13576" max="13576" width="17.5703125" style="29" bestFit="1" customWidth="1"/>
    <col min="13577" max="13824" width="11.42578125" style="29"/>
    <col min="13825" max="13825" width="14" style="29" customWidth="1"/>
    <col min="13826" max="13826" width="23.5703125" style="29" customWidth="1"/>
    <col min="13827" max="13827" width="15.85546875" style="29" customWidth="1"/>
    <col min="13828" max="13830" width="21.42578125" style="29" customWidth="1"/>
    <col min="13831" max="13831" width="11.42578125" style="29"/>
    <col min="13832" max="13832" width="17.5703125" style="29" bestFit="1" customWidth="1"/>
    <col min="13833" max="14080" width="11.42578125" style="29"/>
    <col min="14081" max="14081" width="14" style="29" customWidth="1"/>
    <col min="14082" max="14082" width="23.5703125" style="29" customWidth="1"/>
    <col min="14083" max="14083" width="15.85546875" style="29" customWidth="1"/>
    <col min="14084" max="14086" width="21.42578125" style="29" customWidth="1"/>
    <col min="14087" max="14087" width="11.42578125" style="29"/>
    <col min="14088" max="14088" width="17.5703125" style="29" bestFit="1" customWidth="1"/>
    <col min="14089" max="14336" width="11.42578125" style="29"/>
    <col min="14337" max="14337" width="14" style="29" customWidth="1"/>
    <col min="14338" max="14338" width="23.5703125" style="29" customWidth="1"/>
    <col min="14339" max="14339" width="15.85546875" style="29" customWidth="1"/>
    <col min="14340" max="14342" width="21.42578125" style="29" customWidth="1"/>
    <col min="14343" max="14343" width="11.42578125" style="29"/>
    <col min="14344" max="14344" width="17.5703125" style="29" bestFit="1" customWidth="1"/>
    <col min="14345" max="14592" width="11.42578125" style="29"/>
    <col min="14593" max="14593" width="14" style="29" customWidth="1"/>
    <col min="14594" max="14594" width="23.5703125" style="29" customWidth="1"/>
    <col min="14595" max="14595" width="15.85546875" style="29" customWidth="1"/>
    <col min="14596" max="14598" width="21.42578125" style="29" customWidth="1"/>
    <col min="14599" max="14599" width="11.42578125" style="29"/>
    <col min="14600" max="14600" width="17.5703125" style="29" bestFit="1" customWidth="1"/>
    <col min="14601" max="14848" width="11.42578125" style="29"/>
    <col min="14849" max="14849" width="14" style="29" customWidth="1"/>
    <col min="14850" max="14850" width="23.5703125" style="29" customWidth="1"/>
    <col min="14851" max="14851" width="15.85546875" style="29" customWidth="1"/>
    <col min="14852" max="14854" width="21.42578125" style="29" customWidth="1"/>
    <col min="14855" max="14855" width="11.42578125" style="29"/>
    <col min="14856" max="14856" width="17.5703125" style="29" bestFit="1" customWidth="1"/>
    <col min="14857" max="15104" width="11.42578125" style="29"/>
    <col min="15105" max="15105" width="14" style="29" customWidth="1"/>
    <col min="15106" max="15106" width="23.5703125" style="29" customWidth="1"/>
    <col min="15107" max="15107" width="15.85546875" style="29" customWidth="1"/>
    <col min="15108" max="15110" width="21.42578125" style="29" customWidth="1"/>
    <col min="15111" max="15111" width="11.42578125" style="29"/>
    <col min="15112" max="15112" width="17.5703125" style="29" bestFit="1" customWidth="1"/>
    <col min="15113" max="15360" width="11.42578125" style="29"/>
    <col min="15361" max="15361" width="14" style="29" customWidth="1"/>
    <col min="15362" max="15362" width="23.5703125" style="29" customWidth="1"/>
    <col min="15363" max="15363" width="15.85546875" style="29" customWidth="1"/>
    <col min="15364" max="15366" width="21.42578125" style="29" customWidth="1"/>
    <col min="15367" max="15367" width="11.42578125" style="29"/>
    <col min="15368" max="15368" width="17.5703125" style="29" bestFit="1" customWidth="1"/>
    <col min="15369" max="15616" width="11.42578125" style="29"/>
    <col min="15617" max="15617" width="14" style="29" customWidth="1"/>
    <col min="15618" max="15618" width="23.5703125" style="29" customWidth="1"/>
    <col min="15619" max="15619" width="15.85546875" style="29" customWidth="1"/>
    <col min="15620" max="15622" width="21.42578125" style="29" customWidth="1"/>
    <col min="15623" max="15623" width="11.42578125" style="29"/>
    <col min="15624" max="15624" width="17.5703125" style="29" bestFit="1" customWidth="1"/>
    <col min="15625" max="15872" width="11.42578125" style="29"/>
    <col min="15873" max="15873" width="14" style="29" customWidth="1"/>
    <col min="15874" max="15874" width="23.5703125" style="29" customWidth="1"/>
    <col min="15875" max="15875" width="15.85546875" style="29" customWidth="1"/>
    <col min="15876" max="15878" width="21.42578125" style="29" customWidth="1"/>
    <col min="15879" max="15879" width="11.42578125" style="29"/>
    <col min="15880" max="15880" width="17.5703125" style="29" bestFit="1" customWidth="1"/>
    <col min="15881" max="16128" width="11.42578125" style="29"/>
    <col min="16129" max="16129" width="14" style="29" customWidth="1"/>
    <col min="16130" max="16130" width="23.5703125" style="29" customWidth="1"/>
    <col min="16131" max="16131" width="15.85546875" style="29" customWidth="1"/>
    <col min="16132" max="16134" width="21.42578125" style="29" customWidth="1"/>
    <col min="16135" max="16135" width="11.42578125" style="29"/>
    <col min="16136" max="16136" width="17.5703125" style="29" bestFit="1" customWidth="1"/>
    <col min="16137" max="16384" width="11.42578125" style="29"/>
  </cols>
  <sheetData>
    <row r="1" spans="1:8" s="96" customFormat="1" ht="18" x14ac:dyDescent="0.25">
      <c r="A1" s="163"/>
      <c r="B1" s="163"/>
      <c r="C1" s="163"/>
    </row>
    <row r="2" spans="1:8" s="90" customFormat="1" ht="29.45" customHeight="1" x14ac:dyDescent="0.3">
      <c r="A2" s="164" t="s">
        <v>185</v>
      </c>
      <c r="B2" s="164" t="s">
        <v>184</v>
      </c>
      <c r="C2" s="92" t="s">
        <v>183</v>
      </c>
      <c r="D2" s="164" t="s">
        <v>190</v>
      </c>
      <c r="E2" s="164" t="s">
        <v>191</v>
      </c>
      <c r="F2" s="164" t="s">
        <v>192</v>
      </c>
    </row>
    <row r="3" spans="1:8" s="90" customFormat="1" ht="29.45" customHeight="1" x14ac:dyDescent="0.3">
      <c r="A3" s="165"/>
      <c r="B3" s="165"/>
      <c r="C3" s="92" t="s">
        <v>182</v>
      </c>
      <c r="D3" s="165"/>
      <c r="E3" s="165"/>
      <c r="F3" s="165"/>
    </row>
    <row r="4" spans="1:8" s="90" customFormat="1" ht="29.45" customHeight="1" x14ac:dyDescent="0.3">
      <c r="A4" s="94">
        <v>1</v>
      </c>
      <c r="B4" s="97" t="s">
        <v>181</v>
      </c>
      <c r="C4" s="91">
        <v>0.4</v>
      </c>
      <c r="D4" s="99">
        <f>(2*E4)/(C4+2)</f>
        <v>2375000</v>
      </c>
      <c r="E4" s="99">
        <v>2850000</v>
      </c>
      <c r="F4" s="99">
        <f>(2*E4)*(C4+1)/(C4+2)</f>
        <v>3324999.9999999995</v>
      </c>
    </row>
    <row r="5" spans="1:8" s="90" customFormat="1" ht="29.45" customHeight="1" x14ac:dyDescent="0.3">
      <c r="A5" s="92">
        <v>2</v>
      </c>
      <c r="B5" s="87" t="s">
        <v>16</v>
      </c>
      <c r="C5" s="91">
        <v>0.75</v>
      </c>
      <c r="D5" s="99">
        <f t="shared" ref="D5:D6" si="0">(2*E5)/(C5+2)</f>
        <v>15724675.636363637</v>
      </c>
      <c r="E5" s="99">
        <v>21621429</v>
      </c>
      <c r="F5" s="99">
        <f t="shared" ref="F5:F6" si="1">(2*E5)*(C5+1)/(C5+2)</f>
        <v>27518182.363636363</v>
      </c>
      <c r="H5" s="100"/>
    </row>
    <row r="6" spans="1:8" s="90" customFormat="1" ht="29.45" customHeight="1" x14ac:dyDescent="0.3">
      <c r="A6" s="92">
        <v>3</v>
      </c>
      <c r="B6" s="98" t="s">
        <v>15</v>
      </c>
      <c r="C6" s="91">
        <v>1</v>
      </c>
      <c r="D6" s="99">
        <f t="shared" si="0"/>
        <v>26666666.666666668</v>
      </c>
      <c r="E6" s="99">
        <v>40000000</v>
      </c>
      <c r="F6" s="99">
        <f t="shared" si="1"/>
        <v>53333333.333333336</v>
      </c>
    </row>
    <row r="7" spans="1:8" s="90" customFormat="1" ht="29.45" customHeight="1" x14ac:dyDescent="0.3">
      <c r="A7" s="101"/>
      <c r="B7" s="102"/>
      <c r="C7" s="103"/>
      <c r="D7" s="104"/>
      <c r="E7" s="104"/>
      <c r="F7" s="104"/>
    </row>
  </sheetData>
  <mergeCells count="6">
    <mergeCell ref="F2:F3"/>
    <mergeCell ref="A1:C1"/>
    <mergeCell ref="A2:A3"/>
    <mergeCell ref="B2:B3"/>
    <mergeCell ref="D2:D3"/>
    <mergeCell ref="E2:E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1FF2-34BD-4154-85CF-32A67EBFF8D3}">
  <dimension ref="A1:I9"/>
  <sheetViews>
    <sheetView showGridLines="0" topLeftCell="A7" zoomScale="85" zoomScaleNormal="85" workbookViewId="0">
      <selection activeCell="L6" sqref="L6"/>
    </sheetView>
  </sheetViews>
  <sheetFormatPr defaultRowHeight="15" x14ac:dyDescent="0.25"/>
  <cols>
    <col min="1" max="2" width="9.140625" style="48"/>
    <col min="3" max="3" width="10.5703125" style="48" bestFit="1" customWidth="1"/>
    <col min="4" max="4" width="12.140625" style="48" bestFit="1" customWidth="1"/>
    <col min="5" max="257" width="9.140625" style="48"/>
    <col min="258" max="258" width="10.5703125" style="48" bestFit="1" customWidth="1"/>
    <col min="259" max="259" width="2.140625" style="48" bestFit="1" customWidth="1"/>
    <col min="260" max="260" width="12.140625" style="48" bestFit="1" customWidth="1"/>
    <col min="261" max="513" width="9.140625" style="48"/>
    <col min="514" max="514" width="10.5703125" style="48" bestFit="1" customWidth="1"/>
    <col min="515" max="515" width="2.140625" style="48" bestFit="1" customWidth="1"/>
    <col min="516" max="516" width="12.140625" style="48" bestFit="1" customWidth="1"/>
    <col min="517" max="769" width="9.140625" style="48"/>
    <col min="770" max="770" width="10.5703125" style="48" bestFit="1" customWidth="1"/>
    <col min="771" max="771" width="2.140625" style="48" bestFit="1" customWidth="1"/>
    <col min="772" max="772" width="12.140625" style="48" bestFit="1" customWidth="1"/>
    <col min="773" max="1025" width="9.140625" style="48"/>
    <col min="1026" max="1026" width="10.5703125" style="48" bestFit="1" customWidth="1"/>
    <col min="1027" max="1027" width="2.140625" style="48" bestFit="1" customWidth="1"/>
    <col min="1028" max="1028" width="12.140625" style="48" bestFit="1" customWidth="1"/>
    <col min="1029" max="1281" width="9.140625" style="48"/>
    <col min="1282" max="1282" width="10.5703125" style="48" bestFit="1" customWidth="1"/>
    <col min="1283" max="1283" width="2.140625" style="48" bestFit="1" customWidth="1"/>
    <col min="1284" max="1284" width="12.140625" style="48" bestFit="1" customWidth="1"/>
    <col min="1285" max="1537" width="9.140625" style="48"/>
    <col min="1538" max="1538" width="10.5703125" style="48" bestFit="1" customWidth="1"/>
    <col min="1539" max="1539" width="2.140625" style="48" bestFit="1" customWidth="1"/>
    <col min="1540" max="1540" width="12.140625" style="48" bestFit="1" customWidth="1"/>
    <col min="1541" max="1793" width="9.140625" style="48"/>
    <col min="1794" max="1794" width="10.5703125" style="48" bestFit="1" customWidth="1"/>
    <col min="1795" max="1795" width="2.140625" style="48" bestFit="1" customWidth="1"/>
    <col min="1796" max="1796" width="12.140625" style="48" bestFit="1" customWidth="1"/>
    <col min="1797" max="2049" width="9.140625" style="48"/>
    <col min="2050" max="2050" width="10.5703125" style="48" bestFit="1" customWidth="1"/>
    <col min="2051" max="2051" width="2.140625" style="48" bestFit="1" customWidth="1"/>
    <col min="2052" max="2052" width="12.140625" style="48" bestFit="1" customWidth="1"/>
    <col min="2053" max="2305" width="9.140625" style="48"/>
    <col min="2306" max="2306" width="10.5703125" style="48" bestFit="1" customWidth="1"/>
    <col min="2307" max="2307" width="2.140625" style="48" bestFit="1" customWidth="1"/>
    <col min="2308" max="2308" width="12.140625" style="48" bestFit="1" customWidth="1"/>
    <col min="2309" max="2561" width="9.140625" style="48"/>
    <col min="2562" max="2562" width="10.5703125" style="48" bestFit="1" customWidth="1"/>
    <col min="2563" max="2563" width="2.140625" style="48" bestFit="1" customWidth="1"/>
    <col min="2564" max="2564" width="12.140625" style="48" bestFit="1" customWidth="1"/>
    <col min="2565" max="2817" width="9.140625" style="48"/>
    <col min="2818" max="2818" width="10.5703125" style="48" bestFit="1" customWidth="1"/>
    <col min="2819" max="2819" width="2.140625" style="48" bestFit="1" customWidth="1"/>
    <col min="2820" max="2820" width="12.140625" style="48" bestFit="1" customWidth="1"/>
    <col min="2821" max="3073" width="9.140625" style="48"/>
    <col min="3074" max="3074" width="10.5703125" style="48" bestFit="1" customWidth="1"/>
    <col min="3075" max="3075" width="2.140625" style="48" bestFit="1" customWidth="1"/>
    <col min="3076" max="3076" width="12.140625" style="48" bestFit="1" customWidth="1"/>
    <col min="3077" max="3329" width="9.140625" style="48"/>
    <col min="3330" max="3330" width="10.5703125" style="48" bestFit="1" customWidth="1"/>
    <col min="3331" max="3331" width="2.140625" style="48" bestFit="1" customWidth="1"/>
    <col min="3332" max="3332" width="12.140625" style="48" bestFit="1" customWidth="1"/>
    <col min="3333" max="3585" width="9.140625" style="48"/>
    <col min="3586" max="3586" width="10.5703125" style="48" bestFit="1" customWidth="1"/>
    <col min="3587" max="3587" width="2.140625" style="48" bestFit="1" customWidth="1"/>
    <col min="3588" max="3588" width="12.140625" style="48" bestFit="1" customWidth="1"/>
    <col min="3589" max="3841" width="9.140625" style="48"/>
    <col min="3842" max="3842" width="10.5703125" style="48" bestFit="1" customWidth="1"/>
    <col min="3843" max="3843" width="2.140625" style="48" bestFit="1" customWidth="1"/>
    <col min="3844" max="3844" width="12.140625" style="48" bestFit="1" customWidth="1"/>
    <col min="3845" max="4097" width="9.140625" style="48"/>
    <col min="4098" max="4098" width="10.5703125" style="48" bestFit="1" customWidth="1"/>
    <col min="4099" max="4099" width="2.140625" style="48" bestFit="1" customWidth="1"/>
    <col min="4100" max="4100" width="12.140625" style="48" bestFit="1" customWidth="1"/>
    <col min="4101" max="4353" width="9.140625" style="48"/>
    <col min="4354" max="4354" width="10.5703125" style="48" bestFit="1" customWidth="1"/>
    <col min="4355" max="4355" width="2.140625" style="48" bestFit="1" customWidth="1"/>
    <col min="4356" max="4356" width="12.140625" style="48" bestFit="1" customWidth="1"/>
    <col min="4357" max="4609" width="9.140625" style="48"/>
    <col min="4610" max="4610" width="10.5703125" style="48" bestFit="1" customWidth="1"/>
    <col min="4611" max="4611" width="2.140625" style="48" bestFit="1" customWidth="1"/>
    <col min="4612" max="4612" width="12.140625" style="48" bestFit="1" customWidth="1"/>
    <col min="4613" max="4865" width="9.140625" style="48"/>
    <col min="4866" max="4866" width="10.5703125" style="48" bestFit="1" customWidth="1"/>
    <col min="4867" max="4867" width="2.140625" style="48" bestFit="1" customWidth="1"/>
    <col min="4868" max="4868" width="12.140625" style="48" bestFit="1" customWidth="1"/>
    <col min="4869" max="5121" width="9.140625" style="48"/>
    <col min="5122" max="5122" width="10.5703125" style="48" bestFit="1" customWidth="1"/>
    <col min="5123" max="5123" width="2.140625" style="48" bestFit="1" customWidth="1"/>
    <col min="5124" max="5124" width="12.140625" style="48" bestFit="1" customWidth="1"/>
    <col min="5125" max="5377" width="9.140625" style="48"/>
    <col min="5378" max="5378" width="10.5703125" style="48" bestFit="1" customWidth="1"/>
    <col min="5379" max="5379" width="2.140625" style="48" bestFit="1" customWidth="1"/>
    <col min="5380" max="5380" width="12.140625" style="48" bestFit="1" customWidth="1"/>
    <col min="5381" max="5633" width="9.140625" style="48"/>
    <col min="5634" max="5634" width="10.5703125" style="48" bestFit="1" customWidth="1"/>
    <col min="5635" max="5635" width="2.140625" style="48" bestFit="1" customWidth="1"/>
    <col min="5636" max="5636" width="12.140625" style="48" bestFit="1" customWidth="1"/>
    <col min="5637" max="5889" width="9.140625" style="48"/>
    <col min="5890" max="5890" width="10.5703125" style="48" bestFit="1" customWidth="1"/>
    <col min="5891" max="5891" width="2.140625" style="48" bestFit="1" customWidth="1"/>
    <col min="5892" max="5892" width="12.140625" style="48" bestFit="1" customWidth="1"/>
    <col min="5893" max="6145" width="9.140625" style="48"/>
    <col min="6146" max="6146" width="10.5703125" style="48" bestFit="1" customWidth="1"/>
    <col min="6147" max="6147" width="2.140625" style="48" bestFit="1" customWidth="1"/>
    <col min="6148" max="6148" width="12.140625" style="48" bestFit="1" customWidth="1"/>
    <col min="6149" max="6401" width="9.140625" style="48"/>
    <col min="6402" max="6402" width="10.5703125" style="48" bestFit="1" customWidth="1"/>
    <col min="6403" max="6403" width="2.140625" style="48" bestFit="1" customWidth="1"/>
    <col min="6404" max="6404" width="12.140625" style="48" bestFit="1" customWidth="1"/>
    <col min="6405" max="6657" width="9.140625" style="48"/>
    <col min="6658" max="6658" width="10.5703125" style="48" bestFit="1" customWidth="1"/>
    <col min="6659" max="6659" width="2.140625" style="48" bestFit="1" customWidth="1"/>
    <col min="6660" max="6660" width="12.140625" style="48" bestFit="1" customWidth="1"/>
    <col min="6661" max="6913" width="9.140625" style="48"/>
    <col min="6914" max="6914" width="10.5703125" style="48" bestFit="1" customWidth="1"/>
    <col min="6915" max="6915" width="2.140625" style="48" bestFit="1" customWidth="1"/>
    <col min="6916" max="6916" width="12.140625" style="48" bestFit="1" customWidth="1"/>
    <col min="6917" max="7169" width="9.140625" style="48"/>
    <col min="7170" max="7170" width="10.5703125" style="48" bestFit="1" customWidth="1"/>
    <col min="7171" max="7171" width="2.140625" style="48" bestFit="1" customWidth="1"/>
    <col min="7172" max="7172" width="12.140625" style="48" bestFit="1" customWidth="1"/>
    <col min="7173" max="7425" width="9.140625" style="48"/>
    <col min="7426" max="7426" width="10.5703125" style="48" bestFit="1" customWidth="1"/>
    <col min="7427" max="7427" width="2.140625" style="48" bestFit="1" customWidth="1"/>
    <col min="7428" max="7428" width="12.140625" style="48" bestFit="1" customWidth="1"/>
    <col min="7429" max="7681" width="9.140625" style="48"/>
    <col min="7682" max="7682" width="10.5703125" style="48" bestFit="1" customWidth="1"/>
    <col min="7683" max="7683" width="2.140625" style="48" bestFit="1" customWidth="1"/>
    <col min="7684" max="7684" width="12.140625" style="48" bestFit="1" customWidth="1"/>
    <col min="7685" max="7937" width="9.140625" style="48"/>
    <col min="7938" max="7938" width="10.5703125" style="48" bestFit="1" customWidth="1"/>
    <col min="7939" max="7939" width="2.140625" style="48" bestFit="1" customWidth="1"/>
    <col min="7940" max="7940" width="12.140625" style="48" bestFit="1" customWidth="1"/>
    <col min="7941" max="8193" width="9.140625" style="48"/>
    <col min="8194" max="8194" width="10.5703125" style="48" bestFit="1" customWidth="1"/>
    <col min="8195" max="8195" width="2.140625" style="48" bestFit="1" customWidth="1"/>
    <col min="8196" max="8196" width="12.140625" style="48" bestFit="1" customWidth="1"/>
    <col min="8197" max="8449" width="9.140625" style="48"/>
    <col min="8450" max="8450" width="10.5703125" style="48" bestFit="1" customWidth="1"/>
    <col min="8451" max="8451" width="2.140625" style="48" bestFit="1" customWidth="1"/>
    <col min="8452" max="8452" width="12.140625" style="48" bestFit="1" customWidth="1"/>
    <col min="8453" max="8705" width="9.140625" style="48"/>
    <col min="8706" max="8706" width="10.5703125" style="48" bestFit="1" customWidth="1"/>
    <col min="8707" max="8707" width="2.140625" style="48" bestFit="1" customWidth="1"/>
    <col min="8708" max="8708" width="12.140625" style="48" bestFit="1" customWidth="1"/>
    <col min="8709" max="8961" width="9.140625" style="48"/>
    <col min="8962" max="8962" width="10.5703125" style="48" bestFit="1" customWidth="1"/>
    <col min="8963" max="8963" width="2.140625" style="48" bestFit="1" customWidth="1"/>
    <col min="8964" max="8964" width="12.140625" style="48" bestFit="1" customWidth="1"/>
    <col min="8965" max="9217" width="9.140625" style="48"/>
    <col min="9218" max="9218" width="10.5703125" style="48" bestFit="1" customWidth="1"/>
    <col min="9219" max="9219" width="2.140625" style="48" bestFit="1" customWidth="1"/>
    <col min="9220" max="9220" width="12.140625" style="48" bestFit="1" customWidth="1"/>
    <col min="9221" max="9473" width="9.140625" style="48"/>
    <col min="9474" max="9474" width="10.5703125" style="48" bestFit="1" customWidth="1"/>
    <col min="9475" max="9475" width="2.140625" style="48" bestFit="1" customWidth="1"/>
    <col min="9476" max="9476" width="12.140625" style="48" bestFit="1" customWidth="1"/>
    <col min="9477" max="9729" width="9.140625" style="48"/>
    <col min="9730" max="9730" width="10.5703125" style="48" bestFit="1" customWidth="1"/>
    <col min="9731" max="9731" width="2.140625" style="48" bestFit="1" customWidth="1"/>
    <col min="9732" max="9732" width="12.140625" style="48" bestFit="1" customWidth="1"/>
    <col min="9733" max="9985" width="9.140625" style="48"/>
    <col min="9986" max="9986" width="10.5703125" style="48" bestFit="1" customWidth="1"/>
    <col min="9987" max="9987" width="2.140625" style="48" bestFit="1" customWidth="1"/>
    <col min="9988" max="9988" width="12.140625" style="48" bestFit="1" customWidth="1"/>
    <col min="9989" max="10241" width="9.140625" style="48"/>
    <col min="10242" max="10242" width="10.5703125" style="48" bestFit="1" customWidth="1"/>
    <col min="10243" max="10243" width="2.140625" style="48" bestFit="1" customWidth="1"/>
    <col min="10244" max="10244" width="12.140625" style="48" bestFit="1" customWidth="1"/>
    <col min="10245" max="10497" width="9.140625" style="48"/>
    <col min="10498" max="10498" width="10.5703125" style="48" bestFit="1" customWidth="1"/>
    <col min="10499" max="10499" width="2.140625" style="48" bestFit="1" customWidth="1"/>
    <col min="10500" max="10500" width="12.140625" style="48" bestFit="1" customWidth="1"/>
    <col min="10501" max="10753" width="9.140625" style="48"/>
    <col min="10754" max="10754" width="10.5703125" style="48" bestFit="1" customWidth="1"/>
    <col min="10755" max="10755" width="2.140625" style="48" bestFit="1" customWidth="1"/>
    <col min="10756" max="10756" width="12.140625" style="48" bestFit="1" customWidth="1"/>
    <col min="10757" max="11009" width="9.140625" style="48"/>
    <col min="11010" max="11010" width="10.5703125" style="48" bestFit="1" customWidth="1"/>
    <col min="11011" max="11011" width="2.140625" style="48" bestFit="1" customWidth="1"/>
    <col min="11012" max="11012" width="12.140625" style="48" bestFit="1" customWidth="1"/>
    <col min="11013" max="11265" width="9.140625" style="48"/>
    <col min="11266" max="11266" width="10.5703125" style="48" bestFit="1" customWidth="1"/>
    <col min="11267" max="11267" width="2.140625" style="48" bestFit="1" customWidth="1"/>
    <col min="11268" max="11268" width="12.140625" style="48" bestFit="1" customWidth="1"/>
    <col min="11269" max="11521" width="9.140625" style="48"/>
    <col min="11522" max="11522" width="10.5703125" style="48" bestFit="1" customWidth="1"/>
    <col min="11523" max="11523" width="2.140625" style="48" bestFit="1" customWidth="1"/>
    <col min="11524" max="11524" width="12.140625" style="48" bestFit="1" customWidth="1"/>
    <col min="11525" max="11777" width="9.140625" style="48"/>
    <col min="11778" max="11778" width="10.5703125" style="48" bestFit="1" customWidth="1"/>
    <col min="11779" max="11779" width="2.140625" style="48" bestFit="1" customWidth="1"/>
    <col min="11780" max="11780" width="12.140625" style="48" bestFit="1" customWidth="1"/>
    <col min="11781" max="12033" width="9.140625" style="48"/>
    <col min="12034" max="12034" width="10.5703125" style="48" bestFit="1" customWidth="1"/>
    <col min="12035" max="12035" width="2.140625" style="48" bestFit="1" customWidth="1"/>
    <col min="12036" max="12036" width="12.140625" style="48" bestFit="1" customWidth="1"/>
    <col min="12037" max="12289" width="9.140625" style="48"/>
    <col min="12290" max="12290" width="10.5703125" style="48" bestFit="1" customWidth="1"/>
    <col min="12291" max="12291" width="2.140625" style="48" bestFit="1" customWidth="1"/>
    <col min="12292" max="12292" width="12.140625" style="48" bestFit="1" customWidth="1"/>
    <col min="12293" max="12545" width="9.140625" style="48"/>
    <col min="12546" max="12546" width="10.5703125" style="48" bestFit="1" customWidth="1"/>
    <col min="12547" max="12547" width="2.140625" style="48" bestFit="1" customWidth="1"/>
    <col min="12548" max="12548" width="12.140625" style="48" bestFit="1" customWidth="1"/>
    <col min="12549" max="12801" width="9.140625" style="48"/>
    <col min="12802" max="12802" width="10.5703125" style="48" bestFit="1" customWidth="1"/>
    <col min="12803" max="12803" width="2.140625" style="48" bestFit="1" customWidth="1"/>
    <col min="12804" max="12804" width="12.140625" style="48" bestFit="1" customWidth="1"/>
    <col min="12805" max="13057" width="9.140625" style="48"/>
    <col min="13058" max="13058" width="10.5703125" style="48" bestFit="1" customWidth="1"/>
    <col min="13059" max="13059" width="2.140625" style="48" bestFit="1" customWidth="1"/>
    <col min="13060" max="13060" width="12.140625" style="48" bestFit="1" customWidth="1"/>
    <col min="13061" max="13313" width="9.140625" style="48"/>
    <col min="13314" max="13314" width="10.5703125" style="48" bestFit="1" customWidth="1"/>
    <col min="13315" max="13315" width="2.140625" style="48" bestFit="1" customWidth="1"/>
    <col min="13316" max="13316" width="12.140625" style="48" bestFit="1" customWidth="1"/>
    <col min="13317" max="13569" width="9.140625" style="48"/>
    <col min="13570" max="13570" width="10.5703125" style="48" bestFit="1" customWidth="1"/>
    <col min="13571" max="13571" width="2.140625" style="48" bestFit="1" customWidth="1"/>
    <col min="13572" max="13572" width="12.140625" style="48" bestFit="1" customWidth="1"/>
    <col min="13573" max="13825" width="9.140625" style="48"/>
    <col min="13826" max="13826" width="10.5703125" style="48" bestFit="1" customWidth="1"/>
    <col min="13827" max="13827" width="2.140625" style="48" bestFit="1" customWidth="1"/>
    <col min="13828" max="13828" width="12.140625" style="48" bestFit="1" customWidth="1"/>
    <col min="13829" max="14081" width="9.140625" style="48"/>
    <col min="14082" max="14082" width="10.5703125" style="48" bestFit="1" customWidth="1"/>
    <col min="14083" max="14083" width="2.140625" style="48" bestFit="1" customWidth="1"/>
    <col min="14084" max="14084" width="12.140625" style="48" bestFit="1" customWidth="1"/>
    <col min="14085" max="14337" width="9.140625" style="48"/>
    <col min="14338" max="14338" width="10.5703125" style="48" bestFit="1" customWidth="1"/>
    <col min="14339" max="14339" width="2.140625" style="48" bestFit="1" customWidth="1"/>
    <col min="14340" max="14340" width="12.140625" style="48" bestFit="1" customWidth="1"/>
    <col min="14341" max="14593" width="9.140625" style="48"/>
    <col min="14594" max="14594" width="10.5703125" style="48" bestFit="1" customWidth="1"/>
    <col min="14595" max="14595" width="2.140625" style="48" bestFit="1" customWidth="1"/>
    <col min="14596" max="14596" width="12.140625" style="48" bestFit="1" customWidth="1"/>
    <col min="14597" max="14849" width="9.140625" style="48"/>
    <col min="14850" max="14850" width="10.5703125" style="48" bestFit="1" customWidth="1"/>
    <col min="14851" max="14851" width="2.140625" style="48" bestFit="1" customWidth="1"/>
    <col min="14852" max="14852" width="12.140625" style="48" bestFit="1" customWidth="1"/>
    <col min="14853" max="15105" width="9.140625" style="48"/>
    <col min="15106" max="15106" width="10.5703125" style="48" bestFit="1" customWidth="1"/>
    <col min="15107" max="15107" width="2.140625" style="48" bestFit="1" customWidth="1"/>
    <col min="15108" max="15108" width="12.140625" style="48" bestFit="1" customWidth="1"/>
    <col min="15109" max="15361" width="9.140625" style="48"/>
    <col min="15362" max="15362" width="10.5703125" style="48" bestFit="1" customWidth="1"/>
    <col min="15363" max="15363" width="2.140625" style="48" bestFit="1" customWidth="1"/>
    <col min="15364" max="15364" width="12.140625" style="48" bestFit="1" customWidth="1"/>
    <col min="15365" max="15617" width="9.140625" style="48"/>
    <col min="15618" max="15618" width="10.5703125" style="48" bestFit="1" customWidth="1"/>
    <col min="15619" max="15619" width="2.140625" style="48" bestFit="1" customWidth="1"/>
    <col min="15620" max="15620" width="12.140625" style="48" bestFit="1" customWidth="1"/>
    <col min="15621" max="15873" width="9.140625" style="48"/>
    <col min="15874" max="15874" width="10.5703125" style="48" bestFit="1" customWidth="1"/>
    <col min="15875" max="15875" width="2.140625" style="48" bestFit="1" customWidth="1"/>
    <col min="15876" max="15876" width="12.140625" style="48" bestFit="1" customWidth="1"/>
    <col min="15877" max="16129" width="9.140625" style="48"/>
    <col min="16130" max="16130" width="10.5703125" style="48" bestFit="1" customWidth="1"/>
    <col min="16131" max="16131" width="2.140625" style="48" bestFit="1" customWidth="1"/>
    <col min="16132" max="16132" width="12.140625" style="48" bestFit="1" customWidth="1"/>
    <col min="16133" max="16384" width="9.140625" style="48"/>
  </cols>
  <sheetData>
    <row r="1" spans="1:9" ht="15.75" thickBot="1" x14ac:dyDescent="0.3"/>
    <row r="2" spans="1:9" ht="22.5" thickTop="1" thickBot="1" x14ac:dyDescent="0.3">
      <c r="B2" s="168" t="s">
        <v>136</v>
      </c>
      <c r="C2" s="169"/>
      <c r="D2" s="169"/>
      <c r="E2" s="169"/>
      <c r="F2" s="169"/>
      <c r="G2" s="169"/>
      <c r="H2" s="169"/>
      <c r="I2" s="170"/>
    </row>
    <row r="3" spans="1:9" ht="22.5" thickTop="1" thickBot="1" x14ac:dyDescent="0.3">
      <c r="B3" s="168" t="s">
        <v>137</v>
      </c>
      <c r="C3" s="169"/>
      <c r="D3" s="170"/>
      <c r="E3" s="49">
        <v>1</v>
      </c>
      <c r="F3" s="49">
        <v>2</v>
      </c>
      <c r="G3" s="49">
        <v>3</v>
      </c>
      <c r="H3" s="49">
        <v>4</v>
      </c>
      <c r="I3" s="49">
        <v>5</v>
      </c>
    </row>
    <row r="4" spans="1:9" ht="22.5" thickTop="1" thickBot="1" x14ac:dyDescent="0.4">
      <c r="B4" s="50" t="s">
        <v>138</v>
      </c>
      <c r="C4" s="51">
        <v>0</v>
      </c>
      <c r="D4" s="52">
        <v>0.25490000000000002</v>
      </c>
      <c r="E4" s="53">
        <v>0.16</v>
      </c>
      <c r="F4" s="53">
        <v>0.11</v>
      </c>
      <c r="G4" s="53">
        <v>7.0000000000000007E-2</v>
      </c>
      <c r="H4" s="53">
        <v>0.04</v>
      </c>
      <c r="I4" s="53">
        <v>0.03</v>
      </c>
    </row>
    <row r="5" spans="1:9" ht="22.5" thickTop="1" thickBot="1" x14ac:dyDescent="0.4">
      <c r="B5" s="50" t="s">
        <v>139</v>
      </c>
      <c r="C5" s="51">
        <v>0.255</v>
      </c>
      <c r="D5" s="52">
        <v>0.50490000000000002</v>
      </c>
      <c r="E5" s="53">
        <v>0.15</v>
      </c>
      <c r="F5" s="53">
        <v>0.1</v>
      </c>
      <c r="G5" s="53">
        <v>0.06</v>
      </c>
      <c r="H5" s="53">
        <v>0.03</v>
      </c>
      <c r="I5" s="53">
        <v>0.02</v>
      </c>
    </row>
    <row r="6" spans="1:9" ht="22.5" thickTop="1" thickBot="1" x14ac:dyDescent="0.4">
      <c r="B6" s="50" t="s">
        <v>140</v>
      </c>
      <c r="C6" s="51">
        <v>0.505</v>
      </c>
      <c r="D6" s="52">
        <v>0.75490000000000002</v>
      </c>
      <c r="E6" s="53">
        <v>0.14000000000000001</v>
      </c>
      <c r="F6" s="53">
        <v>0.09</v>
      </c>
      <c r="G6" s="53">
        <v>0.05</v>
      </c>
      <c r="H6" s="53">
        <v>0.02</v>
      </c>
      <c r="I6" s="53">
        <v>0.01</v>
      </c>
    </row>
    <row r="7" spans="1:9" ht="22.5" thickTop="1" thickBot="1" x14ac:dyDescent="0.4">
      <c r="B7" s="50" t="s">
        <v>141</v>
      </c>
      <c r="C7" s="51">
        <v>0.755</v>
      </c>
      <c r="D7" s="52">
        <v>1</v>
      </c>
      <c r="E7" s="53">
        <v>0.13</v>
      </c>
      <c r="F7" s="53">
        <v>0.08</v>
      </c>
      <c r="G7" s="53">
        <v>0.04</v>
      </c>
      <c r="H7" s="53">
        <v>0.01</v>
      </c>
      <c r="I7" s="53">
        <v>0</v>
      </c>
    </row>
    <row r="8" spans="1:9" ht="15.75" thickTop="1" x14ac:dyDescent="0.25"/>
    <row r="9" spans="1:9" ht="21" x14ac:dyDescent="0.35">
      <c r="A9" s="54" t="s">
        <v>142</v>
      </c>
    </row>
  </sheetData>
  <mergeCells count="2">
    <mergeCell ref="B2:I2"/>
    <mergeCell ref="B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Pendahuluan</vt:lpstr>
      <vt:lpstr>1.Struktur Organisasi</vt:lpstr>
      <vt:lpstr>2.Daftar Jabatan</vt:lpstr>
      <vt:lpstr>3.Form Jobdesk</vt:lpstr>
      <vt:lpstr>4.Contoh Point Factor Table</vt:lpstr>
      <vt:lpstr>5.Tabel Point Factor</vt:lpstr>
      <vt:lpstr>6. Form Tabel Poin Faktor</vt:lpstr>
      <vt:lpstr>7.Komponen Upah</vt:lpstr>
      <vt:lpstr>8. Tabel Poin Interval</vt:lpstr>
      <vt:lpstr>9. Tabel Struktur Skala Upah</vt:lpstr>
      <vt:lpstr>Rumus &amp; Tabel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Trisna Permana</dc:creator>
  <cp:lastModifiedBy>Trisna Permana</cp:lastModifiedBy>
  <dcterms:created xsi:type="dcterms:W3CDTF">2024-07-10T15:56:15Z</dcterms:created>
  <dcterms:modified xsi:type="dcterms:W3CDTF">2024-07-11T06:12:46Z</dcterms:modified>
</cp:coreProperties>
</file>