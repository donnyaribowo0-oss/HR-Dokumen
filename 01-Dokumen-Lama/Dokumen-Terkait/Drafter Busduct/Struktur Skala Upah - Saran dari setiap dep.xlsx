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My PC (LAPTOP-DGFN0MUO)\Downloads\Drafter Busduct\"/>
    </mc:Choice>
  </mc:AlternateContent>
  <xr:revisionPtr revIDLastSave="0" documentId="13_ncr:1_{F0322454-958F-4CAD-8B1C-F26F0F0AF3F8}" xr6:coauthVersionLast="47" xr6:coauthVersionMax="47" xr10:uidLastSave="{00000000-0000-0000-0000-000000000000}"/>
  <bookViews>
    <workbookView xWindow="-110" yWindow="-110" windowWidth="19420" windowHeight="10300" xr2:uid="{A7C89A67-13AB-46B4-98B9-C999DBABB45D}"/>
  </bookViews>
  <sheets>
    <sheet name="3.Form Jobdesk" sheetId="7" r:id="rId1"/>
    <sheet name="4.Contoh Point Factor Table" sheetId="4" r:id="rId2"/>
    <sheet name="5.Tabel Point Factor" sheetId="2" r:id="rId3"/>
    <sheet name="6. Form Tabel Poin Fakto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9" i="5" l="1"/>
  <c r="AQ8" i="5"/>
  <c r="AQ7" i="5"/>
</calcChain>
</file>

<file path=xl/sharedStrings.xml><?xml version="1.0" encoding="utf-8"?>
<sst xmlns="http://schemas.openxmlformats.org/spreadsheetml/2006/main" count="193" uniqueCount="154">
  <si>
    <t>No.</t>
  </si>
  <si>
    <t>Manager</t>
  </si>
  <si>
    <t>Supervisor</t>
  </si>
  <si>
    <t>Staff</t>
  </si>
  <si>
    <t>FAKTOR</t>
  </si>
  <si>
    <t>TINGKAT</t>
  </si>
  <si>
    <t>PENGETAHUAN</t>
  </si>
  <si>
    <t>DEFINISI</t>
  </si>
  <si>
    <t>PENDIDIKAN SD</t>
  </si>
  <si>
    <t>PENDIDIKAN SMP</t>
  </si>
  <si>
    <t>PENDIDIKAN SMA</t>
  </si>
  <si>
    <t>PENDIDIKAN D3</t>
  </si>
  <si>
    <t>POIN</t>
  </si>
  <si>
    <t>PENGALAMAN</t>
  </si>
  <si>
    <t>KURANG DARI 1 TAHUN</t>
  </si>
  <si>
    <t>1-3 TAHUN PENGALAMAN</t>
  </si>
  <si>
    <t>4-6 TAHUN PENGALAMAN</t>
  </si>
  <si>
    <t>7-10 TAHUN PENGALAMAN</t>
  </si>
  <si>
    <t>LEBIH DARI 10 TAHUN</t>
  </si>
  <si>
    <t>PENGETAHUAN DAN PENGALAMAN</t>
  </si>
  <si>
    <t>KONDISI KERJA &amp; BAHAYA</t>
  </si>
  <si>
    <t>KONDISI KERJA</t>
  </si>
  <si>
    <t>DEFINISI KERJA BAIK KETIDAKNYAMANAN &lt;10% WAKTU KERJA</t>
  </si>
  <si>
    <t>KONDISI CUKUP BAGUS, KETIDAKYAMANAN 10%-20% WAKTU KERJA</t>
  </si>
  <si>
    <t>BEBERAPA KONDISI TIDAK MENYENANGKAN 30%-40% WAKTU KERJA</t>
  </si>
  <si>
    <t>KONDISI KERJA TIDAK MENYENANGKAN &gt; 50% WAKTU KERJA</t>
  </si>
  <si>
    <t>KONDISI KERJA TIDAK MENYENANGKAN &gt;50 WAKTU KERJA</t>
  </si>
  <si>
    <t>BAHAYA</t>
  </si>
  <si>
    <t>PEKERJAAN TIDAK BERBAHAYA DI LINGKUNGAN KANTOR</t>
  </si>
  <si>
    <t>PEKERJAAN TIDAK MEMBAHAYAKAN KADANG DI LAPANGAN</t>
  </si>
  <si>
    <t>PEKERJAAN TIDAK MEMBAHAYAKAN LEBIH BANYAK DI LAPANGAN</t>
  </si>
  <si>
    <t>PEKERJAAN CUKUP MEMBAHAYAKAN BUKAN DI LAPANGAN</t>
  </si>
  <si>
    <t>PEKERJAAN CUKUP MEMBAHAYAKAN DI LAPANGAN</t>
  </si>
  <si>
    <t>PERATURAN DAN KEUANGAN</t>
  </si>
  <si>
    <t>PERATURAN</t>
  </si>
  <si>
    <t>KEUANGAN</t>
  </si>
  <si>
    <t>SEDIKIT TERKAIT DENGAN PEKERJAAN PERATURAN</t>
  </si>
  <si>
    <t>TIDAK TERKAIT PEKERJAAN PERATURAN</t>
  </si>
  <si>
    <t>SEPARUH PEKERJAAN TERKAIT DENGAN PERATURAN</t>
  </si>
  <si>
    <t>75% PEKERJAAN TERKAIT DENGAN PERATURAN</t>
  </si>
  <si>
    <t>TIDAK TERKAIT PEKERJAAN KEUANGAN</t>
  </si>
  <si>
    <t>SEDIKIT TERKAIT DENGAN PEKERJAAN KEUANGAN</t>
  </si>
  <si>
    <t>SELURUH PEKERJAAN TERKAIT PERATURAN</t>
  </si>
  <si>
    <t>SEPARUH PEKERJAAN TERKAIT DENGAN KEUANGAN</t>
  </si>
  <si>
    <t>75% PEKERJAAN TERKAIT DENGAN KEUANGAN</t>
  </si>
  <si>
    <t>SELURUH PEKERJAAN TERKAIT KEUANGAN</t>
  </si>
  <si>
    <t>CATATAN:</t>
  </si>
  <si>
    <t>CONTOH POINT FACTOR TABLE</t>
  </si>
  <si>
    <t>SKILLL</t>
  </si>
  <si>
    <t>EFFORT</t>
  </si>
  <si>
    <t>RESPONSIBILITY</t>
  </si>
  <si>
    <t>POINT</t>
  </si>
  <si>
    <t>TOTAL</t>
  </si>
  <si>
    <t>TURUNAN FAKTOR</t>
  </si>
  <si>
    <t>FISIK</t>
  </si>
  <si>
    <t>MENTAL</t>
  </si>
  <si>
    <t>POINT TURUNAN FAKTOR</t>
  </si>
  <si>
    <t>HASIL EVALUASI JABATAN KELOMPOK</t>
  </si>
  <si>
    <t>KRITERIA</t>
  </si>
  <si>
    <t>NAMA JABATAN</t>
  </si>
  <si>
    <t>SKILL</t>
  </si>
  <si>
    <t>USAHA</t>
  </si>
  <si>
    <t>TANGGUNG JAWAB</t>
  </si>
  <si>
    <t>Lingkungan Kerja</t>
  </si>
  <si>
    <t>TOTAL POINT</t>
  </si>
  <si>
    <t>URAIAN</t>
  </si>
  <si>
    <t>SMK</t>
  </si>
  <si>
    <t>&lt;1 th</t>
  </si>
  <si>
    <t>1 - 3 th</t>
  </si>
  <si>
    <t>Pekerjaan yang perlu kerja fisik ≤ 10% waktu kerja</t>
  </si>
  <si>
    <t>Pekerjaan yang perlu kerja fisik 10% - 20% waktu kerja</t>
  </si>
  <si>
    <t>Pekerjaan yang perlu kerja fisik 20% - 40% waktu kerja</t>
  </si>
  <si>
    <t>Pekerjaan yang perlu kerja fisik 40% - 60% waktu kerja</t>
  </si>
  <si>
    <t>Pekerjaan yang perlu kerja fisik ≥ 60% waktu kerja</t>
  </si>
  <si>
    <t>Pekerjaan yang perlu kerja mental ≤ 10% waktu kerja</t>
  </si>
  <si>
    <t>Pekerjaan yang perlu kerja mental 10% - 20% waktu kerja</t>
  </si>
  <si>
    <t>Pekerjaan yang perlu kerja mental 20% - 40% waktu kerja</t>
  </si>
  <si>
    <t>Pekerjaan yang perlu kerja mental 40% - 60% waktu kerja</t>
  </si>
  <si>
    <t>Pekerjaan yang perlu kerja mental ≥ 60% waktu kerja</t>
  </si>
  <si>
    <t>Kondisi kerja bagus, ketidaknyamanan ≤ 10% waktu kerja</t>
  </si>
  <si>
    <t>Kondisi cukup bagus, ketidaknyamanan 10% - 20% waktu kerja</t>
  </si>
  <si>
    <t>Beberapa kondisi tidak menyenangkan (suara, panas, dll)</t>
  </si>
  <si>
    <t>Kondisi kerja kurang menyenangkan, 30%-40% waktu kerja</t>
  </si>
  <si>
    <t>Kondisi kerja tidak menyenangkan, ≥ waktu kerja</t>
  </si>
  <si>
    <t>Pekerjaan tidak membahayakan dalam kantor</t>
  </si>
  <si>
    <t>Pekerjaan tidak membahayakan kadang ke lapangan</t>
  </si>
  <si>
    <t>Pekerjaan tidak membahayakan lebih banyak dilapangan</t>
  </si>
  <si>
    <t>Pekerjaan cukup membahayakan bukan dilapangan</t>
  </si>
  <si>
    <t>Pekerjaan cukup membahayakan di lapangan</t>
  </si>
  <si>
    <t>PENDIDIKAN S1/D4 ATAU LEBIH TINGGI</t>
  </si>
  <si>
    <t>SD</t>
  </si>
  <si>
    <t>SMP</t>
  </si>
  <si>
    <t>D3</t>
  </si>
  <si>
    <t>D4/S1/S2/S3</t>
  </si>
  <si>
    <t>4 - 6 th</t>
  </si>
  <si>
    <t>7-10 th</t>
  </si>
  <si>
    <t>10+ th</t>
  </si>
  <si>
    <t>WORK ENVIRONMENT</t>
  </si>
  <si>
    <t>PEKERJAAN YANG PERLU KERJA FISIK ≤ 10% WAKTU KERJA</t>
  </si>
  <si>
    <t>PEKERJAAN YANG PERLU KERJA FISIK 10%-20% WAKTU KERJA</t>
  </si>
  <si>
    <t xml:space="preserve">PEKERJAAN YANG PERLU KERJA FISIK 20%-40% WAKTU KERJA </t>
  </si>
  <si>
    <t xml:space="preserve">PEKERJAAN YANG PERLU KERJA FISIK 40%-60% WAKTU KERJA </t>
  </si>
  <si>
    <t xml:space="preserve">PEKERJAAN YANG PERLU KERJA FISIK ≥ 60% WAKTU KERJA </t>
  </si>
  <si>
    <t>PEKERJAAN YANG PERLU KERJA MENTAL ≤ 10% WAKTU KERJA</t>
  </si>
  <si>
    <t>PEKERJAAN YANG PERLU KERJA MENTAL 10%-20% WAKTU KERJA</t>
  </si>
  <si>
    <t>PEKERJAAN YANG PERLU KERJA MENTAL 40%-60% WAKTU KERJA</t>
  </si>
  <si>
    <t>PEKERJAAN YANG PERLU KERJA MENTAL 20%-40% WAKTU KERJA</t>
  </si>
  <si>
    <t>PEKERJAAN YANG PERLU KERJA MENTAL ≥ 60% WAKTU KERJA</t>
  </si>
  <si>
    <t>FIISK DAN MENTAL</t>
  </si>
  <si>
    <t>Kecil (sedikit terkait dengan pekerjaan peraturan)</t>
  </si>
  <si>
    <t>Sangat kecil (tidak terkait pekerjaan peraturan)</t>
  </si>
  <si>
    <t>Sedang (separuh pekerjaannya terkait dengan peraturan)</t>
  </si>
  <si>
    <t xml:space="preserve"> Besar  (75% pekerjaannya terkait dengan peraturan)</t>
  </si>
  <si>
    <t>Sangat kecil (tidak terkait pekerjaan keuangan)</t>
  </si>
  <si>
    <t>Kecil (sedikit terkait dengan pekerjaan keuangan)</t>
  </si>
  <si>
    <t>Sedang (separuh pekerjaannya terkait dengan keuangan)</t>
  </si>
  <si>
    <t xml:space="preserve"> Besar  (75% pekerjaannya terkait dengan keuangan)</t>
  </si>
  <si>
    <t xml:space="preserve"> Sangat Besar  (Seluruh pekerjaannya terkait keuangan)</t>
  </si>
  <si>
    <t xml:space="preserve"> Sangat Besar  (Seluruh pekerjaannya terkait peraturan)</t>
  </si>
  <si>
    <t>JOB DESCRIPTION</t>
  </si>
  <si>
    <t>Tanggal</t>
  </si>
  <si>
    <t>Revisi ke</t>
  </si>
  <si>
    <t>: 4</t>
  </si>
  <si>
    <t>Halaman</t>
  </si>
  <si>
    <t>: 1 dari 1</t>
  </si>
  <si>
    <t>No</t>
  </si>
  <si>
    <t>: 01</t>
  </si>
  <si>
    <t>J A B A T A N</t>
  </si>
  <si>
    <t>BERTANGGUNG JAWAB KEPADA</t>
  </si>
  <si>
    <t>RUANG LINGKUP PEKERJAAN</t>
  </si>
  <si>
    <t xml:space="preserve">  building facilities sesuai dengan kebijakan yang ada</t>
  </si>
  <si>
    <t>HUBUNGAN KERJA</t>
  </si>
  <si>
    <t>: K e d a l a m</t>
  </si>
  <si>
    <t>:</t>
  </si>
  <si>
    <t>- Semua bagian.</t>
  </si>
  <si>
    <t xml:space="preserve">  K e l u a r</t>
  </si>
  <si>
    <t>BERTANGGUNG JAWAB</t>
  </si>
  <si>
    <t>W E W E N A N G</t>
  </si>
  <si>
    <t>PELIMPAHAN WEWENANG</t>
  </si>
  <si>
    <t xml:space="preserve"> Atasan Langsung :</t>
  </si>
  <si>
    <t xml:space="preserve"> Pemegang Jabatan :</t>
  </si>
  <si>
    <t xml:space="preserve"> Nama</t>
  </si>
  <si>
    <t xml:space="preserve">Tanggal </t>
  </si>
  <si>
    <t>: HUMAN CAPITAL MANAGER</t>
  </si>
  <si>
    <t xml:space="preserve">: </t>
  </si>
  <si>
    <t>: Mengawasi SDM perusahaan, baik berupa</t>
  </si>
  <si>
    <t xml:space="preserve">  pihak internal, pihak ekstenal serta</t>
  </si>
  <si>
    <t>pihak pemerintah, mitra bisnis</t>
  </si>
  <si>
    <t>Operation, Adniministrasi, Industrial Relation</t>
  </si>
  <si>
    <t>Mengawasi Kerja SDM Sesuai SOP &amp; Intruksi</t>
  </si>
  <si>
    <t xml:space="preserve">Jika Human Capital Supervisor Tidak </t>
  </si>
  <si>
    <t xml:space="preserve">Ada Maka Dilimpahkan Human Capital Manager </t>
  </si>
  <si>
    <t xml:space="preserve"> -Disesuaikan Dengan Kebutuhan Bisnis Dan Persetujuan Manajemen
</t>
  </si>
  <si>
    <t>: HUMAN CAPITAL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</si>
</sst>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20"/>
      <name val="Century Gothic"/>
      <family val="2"/>
    </font>
    <font>
      <sz val="20"/>
      <color theme="1"/>
      <name val="Century Gothic"/>
      <family val="2"/>
    </font>
    <font>
      <sz val="15"/>
      <name val="Century Gothic"/>
      <family val="2"/>
    </font>
    <font>
      <sz val="15"/>
      <color theme="1"/>
      <name val="Century Gothic"/>
      <family val="2"/>
    </font>
    <font>
      <b/>
      <sz val="15"/>
      <color indexed="12"/>
      <name val="Century Gothic"/>
      <family val="2"/>
    </font>
    <font>
      <sz val="11"/>
      <color rgb="FF0D0D0D"/>
      <name val="Times New Roman"/>
      <family val="1"/>
    </font>
    <font>
      <sz val="10"/>
      <name val="Arial"/>
      <family val="2"/>
    </font>
    <font>
      <sz val="10"/>
      <name val="Franklin Gothic Book"/>
      <family val="2"/>
    </font>
    <font>
      <b/>
      <sz val="11"/>
      <name val="Franklin Gothic Book"/>
      <family val="2"/>
    </font>
    <font>
      <i/>
      <sz val="11"/>
      <name val="Franklin Gothic Book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</borders>
  <cellStyleXfs count="6">
    <xf numFmtId="0" fontId="0" fillId="0" borderId="0"/>
    <xf numFmtId="0" fontId="1" fillId="0" borderId="0"/>
    <xf numFmtId="0" fontId="15" fillId="0" borderId="0"/>
    <xf numFmtId="0" fontId="15" fillId="0" borderId="0"/>
    <xf numFmtId="0" fontId="23" fillId="0" borderId="0"/>
    <xf numFmtId="43" fontId="15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0" xfId="1" applyFont="1"/>
    <xf numFmtId="0" fontId="4" fillId="2" borderId="1" xfId="1" applyFont="1" applyFill="1" applyBorder="1"/>
    <xf numFmtId="0" fontId="4" fillId="0" borderId="0" xfId="1" applyFont="1"/>
    <xf numFmtId="0" fontId="9" fillId="0" borderId="0" xfId="1" applyFont="1"/>
    <xf numFmtId="0" fontId="12" fillId="0" borderId="0" xfId="1" applyFont="1" applyAlignment="1">
      <alignment vertical="center"/>
    </xf>
    <xf numFmtId="0" fontId="13" fillId="0" borderId="4" xfId="1" applyFont="1" applyBorder="1" applyAlignment="1">
      <alignment horizontal="center" vertical="center"/>
    </xf>
    <xf numFmtId="0" fontId="14" fillId="0" borderId="7" xfId="2" applyFont="1" applyBorder="1" applyAlignment="1">
      <alignment vertical="top" wrapText="1"/>
    </xf>
    <xf numFmtId="0" fontId="14" fillId="0" borderId="0" xfId="1" applyFont="1"/>
    <xf numFmtId="0" fontId="16" fillId="0" borderId="4" xfId="1" applyFont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9" fillId="9" borderId="1" xfId="1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20" fillId="9" borderId="1" xfId="1" applyFont="1" applyFill="1" applyBorder="1" applyAlignment="1">
      <alignment horizontal="center" vertical="center" wrapText="1"/>
    </xf>
    <xf numFmtId="0" fontId="21" fillId="9" borderId="5" xfId="1" applyFont="1" applyFill="1" applyBorder="1" applyAlignment="1">
      <alignment horizontal="center" vertical="center"/>
    </xf>
    <xf numFmtId="0" fontId="20" fillId="9" borderId="0" xfId="1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" fillId="9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/>
    <xf numFmtId="0" fontId="22" fillId="0" borderId="0" xfId="0" applyFont="1"/>
    <xf numFmtId="0" fontId="22" fillId="0" borderId="1" xfId="0" applyFont="1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10" borderId="4" xfId="1" applyFont="1" applyFill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16" fillId="10" borderId="4" xfId="1" applyFont="1" applyFill="1" applyBorder="1" applyAlignment="1">
      <alignment horizontal="center" vertical="center"/>
    </xf>
    <xf numFmtId="0" fontId="16" fillId="10" borderId="1" xfId="1" applyFont="1" applyFill="1" applyBorder="1" applyAlignment="1">
      <alignment horizontal="center" vertical="center"/>
    </xf>
    <xf numFmtId="0" fontId="14" fillId="11" borderId="1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/>
    </xf>
    <xf numFmtId="0" fontId="14" fillId="12" borderId="5" xfId="2" applyFont="1" applyFill="1" applyBorder="1" applyAlignment="1">
      <alignment horizontal="center" vertical="center" wrapText="1"/>
    </xf>
    <xf numFmtId="0" fontId="14" fillId="12" borderId="1" xfId="2" applyFont="1" applyFill="1" applyBorder="1" applyAlignment="1">
      <alignment horizontal="center" vertical="center" wrapText="1"/>
    </xf>
    <xf numFmtId="0" fontId="16" fillId="12" borderId="5" xfId="1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0" fillId="0" borderId="0" xfId="1" applyFont="1"/>
    <xf numFmtId="0" fontId="24" fillId="0" borderId="10" xfId="4" applyFont="1" applyBorder="1" applyAlignment="1">
      <alignment horizontal="left" vertical="center"/>
    </xf>
    <xf numFmtId="0" fontId="24" fillId="0" borderId="11" xfId="4" applyFont="1" applyBorder="1" applyAlignment="1">
      <alignment horizontal="left" vertical="center"/>
    </xf>
    <xf numFmtId="0" fontId="24" fillId="0" borderId="12" xfId="4" applyFont="1" applyBorder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24" fillId="0" borderId="13" xfId="4" applyFont="1" applyBorder="1" applyAlignment="1">
      <alignment horizontal="left" vertical="center"/>
    </xf>
    <xf numFmtId="0" fontId="24" fillId="0" borderId="14" xfId="4" applyFont="1" applyBorder="1" applyAlignment="1">
      <alignment horizontal="left" vertical="center"/>
    </xf>
    <xf numFmtId="0" fontId="24" fillId="0" borderId="0" xfId="4" applyFont="1"/>
    <xf numFmtId="0" fontId="24" fillId="0" borderId="15" xfId="4" applyFont="1" applyBorder="1" applyAlignment="1">
      <alignment horizontal="left" vertical="center"/>
    </xf>
    <xf numFmtId="0" fontId="24" fillId="0" borderId="16" xfId="4" applyFont="1" applyBorder="1" applyAlignment="1">
      <alignment horizontal="left" vertical="center"/>
    </xf>
    <xf numFmtId="0" fontId="24" fillId="0" borderId="17" xfId="4" applyFont="1" applyBorder="1" applyAlignment="1">
      <alignment horizontal="left" vertical="center"/>
    </xf>
    <xf numFmtId="0" fontId="23" fillId="0" borderId="0" xfId="4"/>
    <xf numFmtId="0" fontId="24" fillId="0" borderId="18" xfId="4" applyFont="1" applyBorder="1" applyAlignment="1">
      <alignment horizontal="left" vertical="center"/>
    </xf>
    <xf numFmtId="0" fontId="24" fillId="0" borderId="19" xfId="4" applyFont="1" applyBorder="1" applyAlignment="1">
      <alignment horizontal="left" vertical="center"/>
    </xf>
    <xf numFmtId="0" fontId="24" fillId="0" borderId="20" xfId="4" applyFont="1" applyBorder="1" applyAlignment="1">
      <alignment horizontal="left" vertical="center"/>
    </xf>
    <xf numFmtId="0" fontId="24" fillId="0" borderId="21" xfId="4" applyFont="1" applyBorder="1" applyAlignment="1">
      <alignment horizontal="left" vertical="center"/>
    </xf>
    <xf numFmtId="0" fontId="24" fillId="0" borderId="0" xfId="4" applyFont="1" applyAlignment="1">
      <alignment horizontal="center" vertical="center"/>
    </xf>
    <xf numFmtId="0" fontId="26" fillId="0" borderId="13" xfId="4" applyFont="1" applyBorder="1" applyAlignment="1">
      <alignment horizontal="left" vertical="center"/>
    </xf>
    <xf numFmtId="0" fontId="26" fillId="0" borderId="0" xfId="4" applyFont="1" applyAlignment="1">
      <alignment horizontal="left" vertical="center"/>
    </xf>
    <xf numFmtId="0" fontId="24" fillId="0" borderId="22" xfId="4" applyFont="1" applyBorder="1" applyAlignment="1">
      <alignment horizontal="left" vertical="center"/>
    </xf>
    <xf numFmtId="0" fontId="24" fillId="0" borderId="23" xfId="4" applyFont="1" applyBorder="1" applyAlignment="1">
      <alignment horizontal="left" vertical="center"/>
    </xf>
    <xf numFmtId="0" fontId="24" fillId="0" borderId="23" xfId="4" applyFont="1" applyBorder="1"/>
    <xf numFmtId="0" fontId="24" fillId="0" borderId="24" xfId="4" applyFont="1" applyBorder="1" applyAlignment="1">
      <alignment horizontal="left" vertical="center"/>
    </xf>
    <xf numFmtId="0" fontId="24" fillId="0" borderId="25" xfId="4" applyFont="1" applyBorder="1" applyAlignment="1">
      <alignment horizontal="left" vertical="center"/>
    </xf>
    <xf numFmtId="0" fontId="24" fillId="0" borderId="26" xfId="4" applyFont="1" applyBorder="1" applyAlignment="1">
      <alignment horizontal="left" vertical="center"/>
    </xf>
    <xf numFmtId="0" fontId="25" fillId="0" borderId="14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/>
    </xf>
    <xf numFmtId="0" fontId="8" fillId="6" borderId="6" xfId="1" applyFont="1" applyFill="1" applyBorder="1" applyAlignment="1">
      <alignment horizontal="center" vertical="center"/>
    </xf>
    <xf numFmtId="0" fontId="8" fillId="6" borderId="7" xfId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 wrapText="1"/>
    </xf>
    <xf numFmtId="0" fontId="10" fillId="10" borderId="5" xfId="1" applyFont="1" applyFill="1" applyBorder="1" applyAlignment="1">
      <alignment horizontal="center" vertical="center"/>
    </xf>
    <xf numFmtId="0" fontId="10" fillId="10" borderId="6" xfId="1" applyFont="1" applyFill="1" applyBorder="1" applyAlignment="1">
      <alignment horizontal="center" vertical="center"/>
    </xf>
    <xf numFmtId="0" fontId="10" fillId="10" borderId="7" xfId="1" applyFont="1" applyFill="1" applyBorder="1" applyAlignment="1">
      <alignment horizontal="center" vertical="center"/>
    </xf>
    <xf numFmtId="0" fontId="11" fillId="11" borderId="5" xfId="1" applyFont="1" applyFill="1" applyBorder="1" applyAlignment="1">
      <alignment horizontal="center" vertical="center"/>
    </xf>
    <xf numFmtId="0" fontId="11" fillId="11" borderId="6" xfId="1" applyFont="1" applyFill="1" applyBorder="1" applyAlignment="1">
      <alignment horizontal="center" vertical="center"/>
    </xf>
    <xf numFmtId="0" fontId="11" fillId="11" borderId="7" xfId="1" applyFont="1" applyFill="1" applyBorder="1" applyAlignment="1">
      <alignment horizontal="center" vertical="center"/>
    </xf>
    <xf numFmtId="0" fontId="11" fillId="12" borderId="5" xfId="1" applyFont="1" applyFill="1" applyBorder="1" applyAlignment="1">
      <alignment horizontal="center" vertical="center"/>
    </xf>
    <xf numFmtId="0" fontId="11" fillId="12" borderId="6" xfId="1" applyFont="1" applyFill="1" applyBorder="1" applyAlignment="1">
      <alignment horizontal="center" vertical="center"/>
    </xf>
    <xf numFmtId="0" fontId="11" fillId="12" borderId="7" xfId="1" applyFont="1" applyFill="1" applyBorder="1" applyAlignment="1">
      <alignment horizontal="center" vertical="center"/>
    </xf>
  </cellXfs>
  <cellStyles count="6">
    <cellStyle name="Comma 2 3" xfId="5" xr:uid="{6B1E7FE1-7241-41F0-AED8-96478A4E5655}"/>
    <cellStyle name="Normal" xfId="0" builtinId="0"/>
    <cellStyle name="Normal 2" xfId="2" xr:uid="{DD521244-3E5C-4F2E-B8E6-F7D02751A048}"/>
    <cellStyle name="Normal 2 2" xfId="3" xr:uid="{AAF2DC94-BC2F-4A7A-A8DB-40B4644C6203}"/>
    <cellStyle name="Normal 3" xfId="1" xr:uid="{91FC7B39-329E-4450-A36F-D77D4F517B07}"/>
    <cellStyle name="Normal 4" xfId="4" xr:uid="{BC0AF29A-6F8E-4F31-A52C-1FC432809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46</xdr:row>
      <xdr:rowOff>85725</xdr:rowOff>
    </xdr:from>
    <xdr:to>
      <xdr:col>33</xdr:col>
      <xdr:colOff>114300</xdr:colOff>
      <xdr:row>48</xdr:row>
      <xdr:rowOff>57150</xdr:rowOff>
    </xdr:to>
    <xdr:sp macro="" textlink="" fLocksText="0">
      <xdr:nvSpPr>
        <xdr:cNvPr id="2" name="Text 95">
          <a:extLst>
            <a:ext uri="{FF2B5EF4-FFF2-40B4-BE49-F238E27FC236}">
              <a16:creationId xmlns:a16="http://schemas.microsoft.com/office/drawing/2014/main" id="{937C0E5E-307E-40AF-9813-E61D4D30EE5F}"/>
            </a:ext>
          </a:extLst>
        </xdr:cNvPr>
        <xdr:cNvSpPr txBox="1">
          <a:spLocks noChangeArrowheads="1"/>
        </xdr:cNvSpPr>
      </xdr:nvSpPr>
      <xdr:spPr bwMode="auto">
        <a:xfrm>
          <a:off x="2962275" y="9963150"/>
          <a:ext cx="2800350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7360" rIns="0" bIns="27360" anchor="ctr"/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Telah memahami dan mengerti Job Description </a:t>
          </a:r>
        </a:p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tersebut di atas</a:t>
          </a:r>
        </a:p>
      </xdr:txBody>
    </xdr:sp>
    <xdr:clientData/>
  </xdr:twoCellAnchor>
  <xdr:twoCellAnchor>
    <xdr:from>
      <xdr:col>0</xdr:col>
      <xdr:colOff>57150</xdr:colOff>
      <xdr:row>46</xdr:row>
      <xdr:rowOff>85725</xdr:rowOff>
    </xdr:from>
    <xdr:to>
      <xdr:col>16</xdr:col>
      <xdr:colOff>123825</xdr:colOff>
      <xdr:row>48</xdr:row>
      <xdr:rowOff>57150</xdr:rowOff>
    </xdr:to>
    <xdr:sp macro="" textlink="" fLocksText="0">
      <xdr:nvSpPr>
        <xdr:cNvPr id="3" name="Text 96">
          <a:extLst>
            <a:ext uri="{FF2B5EF4-FFF2-40B4-BE49-F238E27FC236}">
              <a16:creationId xmlns:a16="http://schemas.microsoft.com/office/drawing/2014/main" id="{74A12477-C740-46B8-B48C-806DDB279685}"/>
            </a:ext>
          </a:extLst>
        </xdr:cNvPr>
        <xdr:cNvSpPr txBox="1">
          <a:spLocks noChangeArrowheads="1"/>
        </xdr:cNvSpPr>
      </xdr:nvSpPr>
      <xdr:spPr bwMode="auto">
        <a:xfrm>
          <a:off x="57150" y="9963150"/>
          <a:ext cx="2809875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7360" rIns="0" bIns="27360" anchor="ctr"/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Menyetujui dan melimpahkan Job Description</a:t>
          </a:r>
        </a:p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Franklin Gothic Book"/>
            </a:rPr>
            <a:t>kepada pemegang jabatan</a:t>
          </a:r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31</xdr:col>
      <xdr:colOff>19050</xdr:colOff>
      <xdr:row>57</xdr:row>
      <xdr:rowOff>123825</xdr:rowOff>
    </xdr:to>
    <xdr:pic>
      <xdr:nvPicPr>
        <xdr:cNvPr id="7" name="Gambar 6">
          <a:extLst>
            <a:ext uri="{FF2B5EF4-FFF2-40B4-BE49-F238E27FC236}">
              <a16:creationId xmlns:a16="http://schemas.microsoft.com/office/drawing/2014/main" id="{D26F2E9A-03E2-7D83-040C-D59981EF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562975"/>
          <a:ext cx="55530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3134591</xdr:colOff>
      <xdr:row>23</xdr:row>
      <xdr:rowOff>19050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C4B0ABBB-CA0A-5B3D-D639-B5CAE318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" y="6667500"/>
          <a:ext cx="3134591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625E-C363-48E5-A00E-D87CC1F52AD0}">
  <dimension ref="A1:AH49"/>
  <sheetViews>
    <sheetView showGridLines="0" tabSelected="1" topLeftCell="A19" zoomScale="80" zoomScaleNormal="80" workbookViewId="0">
      <selection activeCell="P12" sqref="P12"/>
    </sheetView>
  </sheetViews>
  <sheetFormatPr defaultColWidth="2.54296875" defaultRowHeight="13.5" x14ac:dyDescent="0.35"/>
  <cols>
    <col min="1" max="21" width="2.54296875" style="53"/>
    <col min="22" max="22" width="8.453125" style="53" bestFit="1" customWidth="1"/>
    <col min="23" max="31" width="2.54296875" style="53"/>
    <col min="32" max="32" width="2.453125" style="53" customWidth="1"/>
    <col min="33" max="33" width="2.54296875" style="53"/>
    <col min="34" max="34" width="5.26953125" style="53" customWidth="1"/>
    <col min="35" max="287" width="2.54296875" style="53"/>
    <col min="288" max="288" width="2.453125" style="53" customWidth="1"/>
    <col min="289" max="289" width="2.54296875" style="53"/>
    <col min="290" max="290" width="5.26953125" style="53" customWidth="1"/>
    <col min="291" max="543" width="2.54296875" style="53"/>
    <col min="544" max="544" width="2.453125" style="53" customWidth="1"/>
    <col min="545" max="545" width="2.54296875" style="53"/>
    <col min="546" max="546" width="5.26953125" style="53" customWidth="1"/>
    <col min="547" max="799" width="2.54296875" style="53"/>
    <col min="800" max="800" width="2.453125" style="53" customWidth="1"/>
    <col min="801" max="801" width="2.54296875" style="53"/>
    <col min="802" max="802" width="5.26953125" style="53" customWidth="1"/>
    <col min="803" max="1055" width="2.54296875" style="53"/>
    <col min="1056" max="1056" width="2.453125" style="53" customWidth="1"/>
    <col min="1057" max="1057" width="2.54296875" style="53"/>
    <col min="1058" max="1058" width="5.26953125" style="53" customWidth="1"/>
    <col min="1059" max="1311" width="2.54296875" style="53"/>
    <col min="1312" max="1312" width="2.453125" style="53" customWidth="1"/>
    <col min="1313" max="1313" width="2.54296875" style="53"/>
    <col min="1314" max="1314" width="5.26953125" style="53" customWidth="1"/>
    <col min="1315" max="1567" width="2.54296875" style="53"/>
    <col min="1568" max="1568" width="2.453125" style="53" customWidth="1"/>
    <col min="1569" max="1569" width="2.54296875" style="53"/>
    <col min="1570" max="1570" width="5.26953125" style="53" customWidth="1"/>
    <col min="1571" max="1823" width="2.54296875" style="53"/>
    <col min="1824" max="1824" width="2.453125" style="53" customWidth="1"/>
    <col min="1825" max="1825" width="2.54296875" style="53"/>
    <col min="1826" max="1826" width="5.26953125" style="53" customWidth="1"/>
    <col min="1827" max="2079" width="2.54296875" style="53"/>
    <col min="2080" max="2080" width="2.453125" style="53" customWidth="1"/>
    <col min="2081" max="2081" width="2.54296875" style="53"/>
    <col min="2082" max="2082" width="5.26953125" style="53" customWidth="1"/>
    <col min="2083" max="2335" width="2.54296875" style="53"/>
    <col min="2336" max="2336" width="2.453125" style="53" customWidth="1"/>
    <col min="2337" max="2337" width="2.54296875" style="53"/>
    <col min="2338" max="2338" width="5.26953125" style="53" customWidth="1"/>
    <col min="2339" max="2591" width="2.54296875" style="53"/>
    <col min="2592" max="2592" width="2.453125" style="53" customWidth="1"/>
    <col min="2593" max="2593" width="2.54296875" style="53"/>
    <col min="2594" max="2594" width="5.26953125" style="53" customWidth="1"/>
    <col min="2595" max="2847" width="2.54296875" style="53"/>
    <col min="2848" max="2848" width="2.453125" style="53" customWidth="1"/>
    <col min="2849" max="2849" width="2.54296875" style="53"/>
    <col min="2850" max="2850" width="5.26953125" style="53" customWidth="1"/>
    <col min="2851" max="3103" width="2.54296875" style="53"/>
    <col min="3104" max="3104" width="2.453125" style="53" customWidth="1"/>
    <col min="3105" max="3105" width="2.54296875" style="53"/>
    <col min="3106" max="3106" width="5.26953125" style="53" customWidth="1"/>
    <col min="3107" max="3359" width="2.54296875" style="53"/>
    <col min="3360" max="3360" width="2.453125" style="53" customWidth="1"/>
    <col min="3361" max="3361" width="2.54296875" style="53"/>
    <col min="3362" max="3362" width="5.26953125" style="53" customWidth="1"/>
    <col min="3363" max="3615" width="2.54296875" style="53"/>
    <col min="3616" max="3616" width="2.453125" style="53" customWidth="1"/>
    <col min="3617" max="3617" width="2.54296875" style="53"/>
    <col min="3618" max="3618" width="5.26953125" style="53" customWidth="1"/>
    <col min="3619" max="3871" width="2.54296875" style="53"/>
    <col min="3872" max="3872" width="2.453125" style="53" customWidth="1"/>
    <col min="3873" max="3873" width="2.54296875" style="53"/>
    <col min="3874" max="3874" width="5.26953125" style="53" customWidth="1"/>
    <col min="3875" max="4127" width="2.54296875" style="53"/>
    <col min="4128" max="4128" width="2.453125" style="53" customWidth="1"/>
    <col min="4129" max="4129" width="2.54296875" style="53"/>
    <col min="4130" max="4130" width="5.26953125" style="53" customWidth="1"/>
    <col min="4131" max="4383" width="2.54296875" style="53"/>
    <col min="4384" max="4384" width="2.453125" style="53" customWidth="1"/>
    <col min="4385" max="4385" width="2.54296875" style="53"/>
    <col min="4386" max="4386" width="5.26953125" style="53" customWidth="1"/>
    <col min="4387" max="4639" width="2.54296875" style="53"/>
    <col min="4640" max="4640" width="2.453125" style="53" customWidth="1"/>
    <col min="4641" max="4641" width="2.54296875" style="53"/>
    <col min="4642" max="4642" width="5.26953125" style="53" customWidth="1"/>
    <col min="4643" max="4895" width="2.54296875" style="53"/>
    <col min="4896" max="4896" width="2.453125" style="53" customWidth="1"/>
    <col min="4897" max="4897" width="2.54296875" style="53"/>
    <col min="4898" max="4898" width="5.26953125" style="53" customWidth="1"/>
    <col min="4899" max="5151" width="2.54296875" style="53"/>
    <col min="5152" max="5152" width="2.453125" style="53" customWidth="1"/>
    <col min="5153" max="5153" width="2.54296875" style="53"/>
    <col min="5154" max="5154" width="5.26953125" style="53" customWidth="1"/>
    <col min="5155" max="5407" width="2.54296875" style="53"/>
    <col min="5408" max="5408" width="2.453125" style="53" customWidth="1"/>
    <col min="5409" max="5409" width="2.54296875" style="53"/>
    <col min="5410" max="5410" width="5.26953125" style="53" customWidth="1"/>
    <col min="5411" max="5663" width="2.54296875" style="53"/>
    <col min="5664" max="5664" width="2.453125" style="53" customWidth="1"/>
    <col min="5665" max="5665" width="2.54296875" style="53"/>
    <col min="5666" max="5666" width="5.26953125" style="53" customWidth="1"/>
    <col min="5667" max="5919" width="2.54296875" style="53"/>
    <col min="5920" max="5920" width="2.453125" style="53" customWidth="1"/>
    <col min="5921" max="5921" width="2.54296875" style="53"/>
    <col min="5922" max="5922" width="5.26953125" style="53" customWidth="1"/>
    <col min="5923" max="6175" width="2.54296875" style="53"/>
    <col min="6176" max="6176" width="2.453125" style="53" customWidth="1"/>
    <col min="6177" max="6177" width="2.54296875" style="53"/>
    <col min="6178" max="6178" width="5.26953125" style="53" customWidth="1"/>
    <col min="6179" max="6431" width="2.54296875" style="53"/>
    <col min="6432" max="6432" width="2.453125" style="53" customWidth="1"/>
    <col min="6433" max="6433" width="2.54296875" style="53"/>
    <col min="6434" max="6434" width="5.26953125" style="53" customWidth="1"/>
    <col min="6435" max="6687" width="2.54296875" style="53"/>
    <col min="6688" max="6688" width="2.453125" style="53" customWidth="1"/>
    <col min="6689" max="6689" width="2.54296875" style="53"/>
    <col min="6690" max="6690" width="5.26953125" style="53" customWidth="1"/>
    <col min="6691" max="6943" width="2.54296875" style="53"/>
    <col min="6944" max="6944" width="2.453125" style="53" customWidth="1"/>
    <col min="6945" max="6945" width="2.54296875" style="53"/>
    <col min="6946" max="6946" width="5.26953125" style="53" customWidth="1"/>
    <col min="6947" max="7199" width="2.54296875" style="53"/>
    <col min="7200" max="7200" width="2.453125" style="53" customWidth="1"/>
    <col min="7201" max="7201" width="2.54296875" style="53"/>
    <col min="7202" max="7202" width="5.26953125" style="53" customWidth="1"/>
    <col min="7203" max="7455" width="2.54296875" style="53"/>
    <col min="7456" max="7456" width="2.453125" style="53" customWidth="1"/>
    <col min="7457" max="7457" width="2.54296875" style="53"/>
    <col min="7458" max="7458" width="5.26953125" style="53" customWidth="1"/>
    <col min="7459" max="7711" width="2.54296875" style="53"/>
    <col min="7712" max="7712" width="2.453125" style="53" customWidth="1"/>
    <col min="7713" max="7713" width="2.54296875" style="53"/>
    <col min="7714" max="7714" width="5.26953125" style="53" customWidth="1"/>
    <col min="7715" max="7967" width="2.54296875" style="53"/>
    <col min="7968" max="7968" width="2.453125" style="53" customWidth="1"/>
    <col min="7969" max="7969" width="2.54296875" style="53"/>
    <col min="7970" max="7970" width="5.26953125" style="53" customWidth="1"/>
    <col min="7971" max="8223" width="2.54296875" style="53"/>
    <col min="8224" max="8224" width="2.453125" style="53" customWidth="1"/>
    <col min="8225" max="8225" width="2.54296875" style="53"/>
    <col min="8226" max="8226" width="5.26953125" style="53" customWidth="1"/>
    <col min="8227" max="8479" width="2.54296875" style="53"/>
    <col min="8480" max="8480" width="2.453125" style="53" customWidth="1"/>
    <col min="8481" max="8481" width="2.54296875" style="53"/>
    <col min="8482" max="8482" width="5.26953125" style="53" customWidth="1"/>
    <col min="8483" max="8735" width="2.54296875" style="53"/>
    <col min="8736" max="8736" width="2.453125" style="53" customWidth="1"/>
    <col min="8737" max="8737" width="2.54296875" style="53"/>
    <col min="8738" max="8738" width="5.26953125" style="53" customWidth="1"/>
    <col min="8739" max="8991" width="2.54296875" style="53"/>
    <col min="8992" max="8992" width="2.453125" style="53" customWidth="1"/>
    <col min="8993" max="8993" width="2.54296875" style="53"/>
    <col min="8994" max="8994" width="5.26953125" style="53" customWidth="1"/>
    <col min="8995" max="9247" width="2.54296875" style="53"/>
    <col min="9248" max="9248" width="2.453125" style="53" customWidth="1"/>
    <col min="9249" max="9249" width="2.54296875" style="53"/>
    <col min="9250" max="9250" width="5.26953125" style="53" customWidth="1"/>
    <col min="9251" max="9503" width="2.54296875" style="53"/>
    <col min="9504" max="9504" width="2.453125" style="53" customWidth="1"/>
    <col min="9505" max="9505" width="2.54296875" style="53"/>
    <col min="9506" max="9506" width="5.26953125" style="53" customWidth="1"/>
    <col min="9507" max="9759" width="2.54296875" style="53"/>
    <col min="9760" max="9760" width="2.453125" style="53" customWidth="1"/>
    <col min="9761" max="9761" width="2.54296875" style="53"/>
    <col min="9762" max="9762" width="5.26953125" style="53" customWidth="1"/>
    <col min="9763" max="10015" width="2.54296875" style="53"/>
    <col min="10016" max="10016" width="2.453125" style="53" customWidth="1"/>
    <col min="10017" max="10017" width="2.54296875" style="53"/>
    <col min="10018" max="10018" width="5.26953125" style="53" customWidth="1"/>
    <col min="10019" max="10271" width="2.54296875" style="53"/>
    <col min="10272" max="10272" width="2.453125" style="53" customWidth="1"/>
    <col min="10273" max="10273" width="2.54296875" style="53"/>
    <col min="10274" max="10274" width="5.26953125" style="53" customWidth="1"/>
    <col min="10275" max="10527" width="2.54296875" style="53"/>
    <col min="10528" max="10528" width="2.453125" style="53" customWidth="1"/>
    <col min="10529" max="10529" width="2.54296875" style="53"/>
    <col min="10530" max="10530" width="5.26953125" style="53" customWidth="1"/>
    <col min="10531" max="10783" width="2.54296875" style="53"/>
    <col min="10784" max="10784" width="2.453125" style="53" customWidth="1"/>
    <col min="10785" max="10785" width="2.54296875" style="53"/>
    <col min="10786" max="10786" width="5.26953125" style="53" customWidth="1"/>
    <col min="10787" max="11039" width="2.54296875" style="53"/>
    <col min="11040" max="11040" width="2.453125" style="53" customWidth="1"/>
    <col min="11041" max="11041" width="2.54296875" style="53"/>
    <col min="11042" max="11042" width="5.26953125" style="53" customWidth="1"/>
    <col min="11043" max="11295" width="2.54296875" style="53"/>
    <col min="11296" max="11296" width="2.453125" style="53" customWidth="1"/>
    <col min="11297" max="11297" width="2.54296875" style="53"/>
    <col min="11298" max="11298" width="5.26953125" style="53" customWidth="1"/>
    <col min="11299" max="11551" width="2.54296875" style="53"/>
    <col min="11552" max="11552" width="2.453125" style="53" customWidth="1"/>
    <col min="11553" max="11553" width="2.54296875" style="53"/>
    <col min="11554" max="11554" width="5.26953125" style="53" customWidth="1"/>
    <col min="11555" max="11807" width="2.54296875" style="53"/>
    <col min="11808" max="11808" width="2.453125" style="53" customWidth="1"/>
    <col min="11809" max="11809" width="2.54296875" style="53"/>
    <col min="11810" max="11810" width="5.26953125" style="53" customWidth="1"/>
    <col min="11811" max="12063" width="2.54296875" style="53"/>
    <col min="12064" max="12064" width="2.453125" style="53" customWidth="1"/>
    <col min="12065" max="12065" width="2.54296875" style="53"/>
    <col min="12066" max="12066" width="5.26953125" style="53" customWidth="1"/>
    <col min="12067" max="12319" width="2.54296875" style="53"/>
    <col min="12320" max="12320" width="2.453125" style="53" customWidth="1"/>
    <col min="12321" max="12321" width="2.54296875" style="53"/>
    <col min="12322" max="12322" width="5.26953125" style="53" customWidth="1"/>
    <col min="12323" max="12575" width="2.54296875" style="53"/>
    <col min="12576" max="12576" width="2.453125" style="53" customWidth="1"/>
    <col min="12577" max="12577" width="2.54296875" style="53"/>
    <col min="12578" max="12578" width="5.26953125" style="53" customWidth="1"/>
    <col min="12579" max="12831" width="2.54296875" style="53"/>
    <col min="12832" max="12832" width="2.453125" style="53" customWidth="1"/>
    <col min="12833" max="12833" width="2.54296875" style="53"/>
    <col min="12834" max="12834" width="5.26953125" style="53" customWidth="1"/>
    <col min="12835" max="13087" width="2.54296875" style="53"/>
    <col min="13088" max="13088" width="2.453125" style="53" customWidth="1"/>
    <col min="13089" max="13089" width="2.54296875" style="53"/>
    <col min="13090" max="13090" width="5.26953125" style="53" customWidth="1"/>
    <col min="13091" max="13343" width="2.54296875" style="53"/>
    <col min="13344" max="13344" width="2.453125" style="53" customWidth="1"/>
    <col min="13345" max="13345" width="2.54296875" style="53"/>
    <col min="13346" max="13346" width="5.26953125" style="53" customWidth="1"/>
    <col min="13347" max="13599" width="2.54296875" style="53"/>
    <col min="13600" max="13600" width="2.453125" style="53" customWidth="1"/>
    <col min="13601" max="13601" width="2.54296875" style="53"/>
    <col min="13602" max="13602" width="5.26953125" style="53" customWidth="1"/>
    <col min="13603" max="13855" width="2.54296875" style="53"/>
    <col min="13856" max="13856" width="2.453125" style="53" customWidth="1"/>
    <col min="13857" max="13857" width="2.54296875" style="53"/>
    <col min="13858" max="13858" width="5.26953125" style="53" customWidth="1"/>
    <col min="13859" max="14111" width="2.54296875" style="53"/>
    <col min="14112" max="14112" width="2.453125" style="53" customWidth="1"/>
    <col min="14113" max="14113" width="2.54296875" style="53"/>
    <col min="14114" max="14114" width="5.26953125" style="53" customWidth="1"/>
    <col min="14115" max="14367" width="2.54296875" style="53"/>
    <col min="14368" max="14368" width="2.453125" style="53" customWidth="1"/>
    <col min="14369" max="14369" width="2.54296875" style="53"/>
    <col min="14370" max="14370" width="5.26953125" style="53" customWidth="1"/>
    <col min="14371" max="14623" width="2.54296875" style="53"/>
    <col min="14624" max="14624" width="2.453125" style="53" customWidth="1"/>
    <col min="14625" max="14625" width="2.54296875" style="53"/>
    <col min="14626" max="14626" width="5.26953125" style="53" customWidth="1"/>
    <col min="14627" max="14879" width="2.54296875" style="53"/>
    <col min="14880" max="14880" width="2.453125" style="53" customWidth="1"/>
    <col min="14881" max="14881" width="2.54296875" style="53"/>
    <col min="14882" max="14882" width="5.26953125" style="53" customWidth="1"/>
    <col min="14883" max="15135" width="2.54296875" style="53"/>
    <col min="15136" max="15136" width="2.453125" style="53" customWidth="1"/>
    <col min="15137" max="15137" width="2.54296875" style="53"/>
    <col min="15138" max="15138" width="5.26953125" style="53" customWidth="1"/>
    <col min="15139" max="15391" width="2.54296875" style="53"/>
    <col min="15392" max="15392" width="2.453125" style="53" customWidth="1"/>
    <col min="15393" max="15393" width="2.54296875" style="53"/>
    <col min="15394" max="15394" width="5.26953125" style="53" customWidth="1"/>
    <col min="15395" max="15647" width="2.54296875" style="53"/>
    <col min="15648" max="15648" width="2.453125" style="53" customWidth="1"/>
    <col min="15649" max="15649" width="2.54296875" style="53"/>
    <col min="15650" max="15650" width="5.26953125" style="53" customWidth="1"/>
    <col min="15651" max="15903" width="2.54296875" style="53"/>
    <col min="15904" max="15904" width="2.453125" style="53" customWidth="1"/>
    <col min="15905" max="15905" width="2.54296875" style="53"/>
    <col min="15906" max="15906" width="5.26953125" style="53" customWidth="1"/>
    <col min="15907" max="16159" width="2.54296875" style="53"/>
    <col min="16160" max="16160" width="2.453125" style="53" customWidth="1"/>
    <col min="16161" max="16161" width="2.54296875" style="53"/>
    <col min="16162" max="16162" width="5.26953125" style="53" customWidth="1"/>
    <col min="16163" max="16384" width="2.54296875" style="53"/>
  </cols>
  <sheetData>
    <row r="1" spans="1:34" s="50" customFormat="1" ht="12" customHeight="1" x14ac:dyDescent="0.3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9"/>
    </row>
    <row r="2" spans="1:34" s="50" customFormat="1" ht="12" customHeight="1" x14ac:dyDescent="0.35">
      <c r="A2" s="51"/>
      <c r="AH2" s="52"/>
    </row>
    <row r="3" spans="1:34" s="50" customFormat="1" ht="12" customHeight="1" x14ac:dyDescent="0.35">
      <c r="A3" s="51"/>
      <c r="Y3" s="71" t="s">
        <v>119</v>
      </c>
      <c r="Z3" s="71"/>
      <c r="AA3" s="71"/>
      <c r="AB3" s="71"/>
      <c r="AC3" s="71"/>
      <c r="AD3" s="71"/>
      <c r="AE3" s="71"/>
      <c r="AF3" s="71"/>
      <c r="AG3" s="71"/>
      <c r="AH3" s="71"/>
    </row>
    <row r="4" spans="1:34" s="50" customFormat="1" ht="12" customHeight="1" x14ac:dyDescent="0.35">
      <c r="A4" s="51"/>
      <c r="Y4" s="71"/>
      <c r="Z4" s="71"/>
      <c r="AA4" s="71"/>
      <c r="AB4" s="71"/>
      <c r="AC4" s="71"/>
      <c r="AD4" s="71"/>
      <c r="AE4" s="71"/>
      <c r="AF4" s="71"/>
      <c r="AG4" s="71"/>
      <c r="AH4" s="71"/>
    </row>
    <row r="5" spans="1:34" s="50" customFormat="1" ht="5.25" customHeight="1" x14ac:dyDescent="0.35">
      <c r="A5" s="51"/>
      <c r="AH5" s="52"/>
    </row>
    <row r="6" spans="1:34" s="50" customFormat="1" ht="12" customHeight="1" x14ac:dyDescent="0.35">
      <c r="A6" s="51"/>
      <c r="E6" s="50" t="s">
        <v>120</v>
      </c>
      <c r="T6" s="53"/>
      <c r="U6" s="50" t="s">
        <v>121</v>
      </c>
      <c r="W6" s="53"/>
      <c r="Y6" s="50" t="s">
        <v>122</v>
      </c>
      <c r="AH6" s="52"/>
    </row>
    <row r="7" spans="1:34" s="50" customFormat="1" ht="12" customHeight="1" x14ac:dyDescent="0.35">
      <c r="A7" s="51"/>
      <c r="E7" s="50" t="s">
        <v>123</v>
      </c>
      <c r="I7" s="50" t="s">
        <v>124</v>
      </c>
      <c r="T7" s="53"/>
      <c r="U7" s="50" t="s">
        <v>125</v>
      </c>
      <c r="W7" s="53"/>
      <c r="Y7" s="50" t="s">
        <v>126</v>
      </c>
      <c r="AH7" s="52"/>
    </row>
    <row r="8" spans="1:34" s="50" customFormat="1" ht="5.25" customHeight="1" thickBot="1" x14ac:dyDescent="0.4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</row>
    <row r="9" spans="1:34" s="50" customFormat="1" ht="14" thickTop="1" x14ac:dyDescent="0.35">
      <c r="A9" s="51"/>
      <c r="AH9" s="52"/>
    </row>
    <row r="10" spans="1:34" s="50" customFormat="1" x14ac:dyDescent="0.35">
      <c r="A10" s="51"/>
      <c r="B10" s="50" t="s">
        <v>127</v>
      </c>
      <c r="P10" s="50" t="s">
        <v>153</v>
      </c>
      <c r="AH10" s="52"/>
    </row>
    <row r="11" spans="1:34" s="50" customFormat="1" x14ac:dyDescent="0.35">
      <c r="A11" s="51"/>
      <c r="AH11" s="52"/>
    </row>
    <row r="12" spans="1:34" s="50" customFormat="1" x14ac:dyDescent="0.35">
      <c r="A12" s="51"/>
      <c r="B12" s="50" t="s">
        <v>128</v>
      </c>
      <c r="P12" s="50" t="s">
        <v>143</v>
      </c>
      <c r="AH12" s="52"/>
    </row>
    <row r="13" spans="1:34" s="50" customFormat="1" x14ac:dyDescent="0.35">
      <c r="A13" s="51"/>
      <c r="AH13" s="52"/>
    </row>
    <row r="14" spans="1:34" s="50" customFormat="1" x14ac:dyDescent="0.35">
      <c r="A14" s="51"/>
      <c r="B14" s="50" t="s">
        <v>129</v>
      </c>
      <c r="P14" s="50" t="s">
        <v>145</v>
      </c>
      <c r="AH14" s="52"/>
    </row>
    <row r="15" spans="1:34" s="50" customFormat="1" x14ac:dyDescent="0.35">
      <c r="A15" s="51"/>
      <c r="P15" s="50" t="s">
        <v>146</v>
      </c>
      <c r="AH15" s="52"/>
    </row>
    <row r="16" spans="1:34" s="50" customFormat="1" x14ac:dyDescent="0.35">
      <c r="A16" s="51"/>
      <c r="P16" s="50" t="s">
        <v>130</v>
      </c>
      <c r="AH16" s="52"/>
    </row>
    <row r="17" spans="1:34" s="50" customFormat="1" x14ac:dyDescent="0.35">
      <c r="A17" s="51"/>
      <c r="AH17" s="52"/>
    </row>
    <row r="18" spans="1:34" s="50" customFormat="1" x14ac:dyDescent="0.35">
      <c r="A18" s="51"/>
      <c r="B18" s="50" t="s">
        <v>131</v>
      </c>
      <c r="P18" s="50" t="s">
        <v>132</v>
      </c>
      <c r="U18" s="50" t="s">
        <v>133</v>
      </c>
      <c r="V18" s="50" t="s">
        <v>134</v>
      </c>
      <c r="AH18" s="52"/>
    </row>
    <row r="19" spans="1:34" s="50" customFormat="1" x14ac:dyDescent="0.35">
      <c r="A19" s="51"/>
      <c r="AH19" s="52"/>
    </row>
    <row r="20" spans="1:34" s="50" customFormat="1" x14ac:dyDescent="0.35">
      <c r="A20" s="51"/>
      <c r="P20" s="50" t="s">
        <v>135</v>
      </c>
      <c r="U20" s="50" t="s">
        <v>133</v>
      </c>
      <c r="V20" s="50" t="s">
        <v>147</v>
      </c>
      <c r="AH20" s="52"/>
    </row>
    <row r="21" spans="1:34" s="50" customFormat="1" x14ac:dyDescent="0.35">
      <c r="A21" s="51"/>
      <c r="AH21" s="52"/>
    </row>
    <row r="22" spans="1:34" s="50" customFormat="1" x14ac:dyDescent="0.25">
      <c r="A22" s="51"/>
      <c r="V22" s="57"/>
      <c r="AH22" s="52"/>
    </row>
    <row r="23" spans="1:34" s="50" customFormat="1" x14ac:dyDescent="0.35">
      <c r="A23" s="51"/>
      <c r="AH23" s="52"/>
    </row>
    <row r="24" spans="1:34" s="50" customFormat="1" x14ac:dyDescent="0.35">
      <c r="A24" s="51"/>
      <c r="B24" s="50" t="s">
        <v>136</v>
      </c>
      <c r="P24" s="50" t="s">
        <v>133</v>
      </c>
      <c r="Q24" s="50" t="s">
        <v>148</v>
      </c>
      <c r="AH24" s="52"/>
    </row>
    <row r="25" spans="1:34" s="50" customFormat="1" x14ac:dyDescent="0.35">
      <c r="A25" s="51"/>
      <c r="AH25" s="52"/>
    </row>
    <row r="26" spans="1:34" s="50" customFormat="1" x14ac:dyDescent="0.35">
      <c r="A26" s="51"/>
      <c r="AH26" s="52"/>
    </row>
    <row r="27" spans="1:34" s="50" customFormat="1" x14ac:dyDescent="0.35">
      <c r="A27" s="51"/>
      <c r="B27" s="50" t="s">
        <v>137</v>
      </c>
      <c r="P27" s="50" t="s">
        <v>133</v>
      </c>
      <c r="Q27" s="50" t="s">
        <v>149</v>
      </c>
      <c r="AH27" s="52"/>
    </row>
    <row r="28" spans="1:34" s="50" customFormat="1" x14ac:dyDescent="0.35">
      <c r="A28" s="51"/>
      <c r="AH28" s="52"/>
    </row>
    <row r="29" spans="1:34" s="50" customFormat="1" x14ac:dyDescent="0.35">
      <c r="A29" s="51"/>
      <c r="B29" s="50" t="s">
        <v>138</v>
      </c>
      <c r="P29" s="50" t="s">
        <v>144</v>
      </c>
      <c r="Q29" s="50" t="s">
        <v>150</v>
      </c>
      <c r="AH29" s="52"/>
    </row>
    <row r="30" spans="1:34" s="50" customFormat="1" x14ac:dyDescent="0.35">
      <c r="A30" s="51"/>
      <c r="Q30" s="50" t="s">
        <v>151</v>
      </c>
      <c r="AH30" s="52"/>
    </row>
    <row r="31" spans="1:34" s="50" customFormat="1" ht="13.5" customHeight="1" x14ac:dyDescent="0.35">
      <c r="A31" s="51"/>
      <c r="AH31" s="52"/>
    </row>
    <row r="32" spans="1:34" s="50" customFormat="1" ht="13.5" customHeight="1" x14ac:dyDescent="0.35">
      <c r="A32" s="51"/>
      <c r="AH32" s="52"/>
    </row>
    <row r="33" spans="1:34" s="50" customFormat="1" ht="13.5" customHeight="1" x14ac:dyDescent="0.35">
      <c r="A33" s="51"/>
      <c r="AH33" s="52"/>
    </row>
    <row r="34" spans="1:34" s="50" customFormat="1" ht="13.5" customHeight="1" x14ac:dyDescent="0.35">
      <c r="A34" s="51"/>
      <c r="AH34" s="52"/>
    </row>
    <row r="35" spans="1:34" s="50" customFormat="1" ht="13.5" customHeight="1" x14ac:dyDescent="0.35">
      <c r="A35" s="51"/>
      <c r="AH35" s="52"/>
    </row>
    <row r="36" spans="1:34" s="50" customFormat="1" x14ac:dyDescent="0.35">
      <c r="A36" s="51"/>
      <c r="AH36" s="52"/>
    </row>
    <row r="37" spans="1:34" s="50" customFormat="1" x14ac:dyDescent="0.35">
      <c r="A37" s="51"/>
      <c r="AH37" s="52"/>
    </row>
    <row r="38" spans="1:34" s="50" customFormat="1" x14ac:dyDescent="0.35">
      <c r="A38" s="51"/>
      <c r="AH38" s="52"/>
    </row>
    <row r="39" spans="1:34" s="50" customFormat="1" x14ac:dyDescent="0.35">
      <c r="A39" s="51"/>
      <c r="AH39" s="52"/>
    </row>
    <row r="40" spans="1:34" s="50" customFormat="1" x14ac:dyDescent="0.35">
      <c r="A40" s="51"/>
      <c r="AH40" s="52"/>
    </row>
    <row r="41" spans="1:34" s="50" customFormat="1" x14ac:dyDescent="0.35">
      <c r="A41" s="51"/>
      <c r="AH41" s="52"/>
    </row>
    <row r="42" spans="1:34" s="50" customFormat="1" ht="14" thickBot="1" x14ac:dyDescent="0.4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60"/>
    </row>
    <row r="43" spans="1:34" s="50" customFormat="1" x14ac:dyDescent="0.35">
      <c r="A43" s="51" t="s">
        <v>139</v>
      </c>
      <c r="R43" s="61" t="s">
        <v>140</v>
      </c>
      <c r="Y43" s="62"/>
      <c r="Z43" s="62"/>
      <c r="AA43" s="62"/>
      <c r="AB43" s="62"/>
      <c r="AC43" s="62"/>
      <c r="AD43" s="62"/>
      <c r="AE43" s="62"/>
      <c r="AH43" s="52"/>
    </row>
    <row r="44" spans="1:34" s="50" customFormat="1" ht="15" x14ac:dyDescent="0.35">
      <c r="A44" s="63"/>
      <c r="B44" s="64"/>
      <c r="C44" s="53"/>
      <c r="R44" s="61"/>
      <c r="Y44" s="62"/>
      <c r="Z44" s="62"/>
      <c r="AA44" s="62"/>
      <c r="AB44" s="62"/>
      <c r="AC44" s="62"/>
      <c r="AD44" s="62"/>
      <c r="AE44" s="62"/>
      <c r="AH44" s="52"/>
    </row>
    <row r="45" spans="1:34" s="50" customFormat="1" ht="15" x14ac:dyDescent="0.35">
      <c r="A45" s="63"/>
      <c r="B45" s="64"/>
      <c r="C45" s="53"/>
      <c r="R45" s="61"/>
      <c r="Y45" s="62"/>
      <c r="Z45" s="62"/>
      <c r="AA45" s="62"/>
      <c r="AB45" s="62"/>
      <c r="AC45" s="62"/>
      <c r="AD45" s="62"/>
      <c r="AE45" s="62"/>
      <c r="AH45" s="52"/>
    </row>
    <row r="46" spans="1:34" s="50" customFormat="1" ht="15" x14ac:dyDescent="0.35">
      <c r="A46" s="63"/>
      <c r="B46" s="64"/>
      <c r="C46" s="53"/>
      <c r="R46" s="61"/>
      <c r="Y46" s="62"/>
      <c r="Z46" s="62"/>
      <c r="AA46" s="62"/>
      <c r="AB46" s="62"/>
      <c r="AC46" s="62"/>
      <c r="AD46" s="62"/>
      <c r="AE46" s="62"/>
      <c r="AH46" s="52"/>
    </row>
    <row r="47" spans="1:34" s="50" customFormat="1" x14ac:dyDescent="0.35">
      <c r="A47" s="65" t="s">
        <v>141</v>
      </c>
      <c r="B47" s="66"/>
      <c r="C47" s="67"/>
      <c r="D47" s="66" t="s">
        <v>133</v>
      </c>
      <c r="E47" s="66"/>
      <c r="F47" s="66"/>
      <c r="G47" s="66"/>
      <c r="H47" s="66"/>
      <c r="I47" s="66"/>
      <c r="J47" s="66"/>
      <c r="K47" s="66" t="s">
        <v>142</v>
      </c>
      <c r="L47" s="66"/>
      <c r="M47" s="66"/>
      <c r="N47" s="66" t="s">
        <v>133</v>
      </c>
      <c r="O47" s="66"/>
      <c r="P47" s="66"/>
      <c r="Q47" s="66"/>
      <c r="R47" s="68" t="s">
        <v>141</v>
      </c>
      <c r="S47" s="66"/>
      <c r="T47" s="67"/>
      <c r="U47" s="66" t="s">
        <v>133</v>
      </c>
      <c r="V47" s="66"/>
      <c r="W47" s="66"/>
      <c r="X47" s="66"/>
      <c r="Y47" s="66"/>
      <c r="Z47" s="66"/>
      <c r="AA47" s="66"/>
      <c r="AB47" s="66" t="s">
        <v>142</v>
      </c>
      <c r="AC47" s="66"/>
      <c r="AD47" s="66"/>
      <c r="AE47" s="66" t="s">
        <v>133</v>
      </c>
      <c r="AF47" s="66"/>
      <c r="AG47" s="66"/>
      <c r="AH47" s="69"/>
    </row>
    <row r="48" spans="1:34" s="50" customFormat="1" ht="15" x14ac:dyDescent="0.35">
      <c r="A48" s="63"/>
      <c r="B48" s="64"/>
      <c r="C48" s="53"/>
      <c r="R48" s="61"/>
      <c r="Y48" s="62"/>
      <c r="Z48" s="62"/>
      <c r="AA48" s="62"/>
      <c r="AB48" s="62"/>
      <c r="AC48" s="62"/>
      <c r="AD48" s="62"/>
      <c r="AE48" s="62"/>
      <c r="AH48" s="52"/>
    </row>
    <row r="49" spans="1:34" s="50" customFormat="1" ht="14" thickBot="1" x14ac:dyDescent="0.4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70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60"/>
    </row>
  </sheetData>
  <sheetProtection selectLockedCells="1" selectUnlockedCells="1"/>
  <mergeCells count="1">
    <mergeCell ref="Y3:AH4"/>
  </mergeCells>
  <printOptions horizontalCentered="1"/>
  <pageMargins left="0.53749999999999998" right="0.34027777777777779" top="0.59027777777777779" bottom="0.39374999999999999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F6A9-ACDD-47F3-9DB2-E8562C6947F9}">
  <dimension ref="A2:I16"/>
  <sheetViews>
    <sheetView showGridLines="0" workbookViewId="0">
      <selection activeCell="M12" sqref="M12"/>
    </sheetView>
  </sheetViews>
  <sheetFormatPr defaultRowHeight="14.5" x14ac:dyDescent="0.35"/>
  <cols>
    <col min="1" max="1" width="9.1796875" style="1"/>
    <col min="2" max="2" width="20.7265625" style="1" bestFit="1" customWidth="1"/>
    <col min="3" max="3" width="6.54296875" style="1" bestFit="1" customWidth="1"/>
    <col min="4" max="4" width="17.54296875" style="1" bestFit="1" customWidth="1"/>
    <col min="5" max="5" width="7" style="1" customWidth="1"/>
    <col min="6" max="6" width="3" style="1" bestFit="1" customWidth="1"/>
    <col min="7" max="8" width="4" style="1" bestFit="1" customWidth="1"/>
    <col min="9" max="9" width="5" style="1" bestFit="1" customWidth="1"/>
  </cols>
  <sheetData>
    <row r="2" spans="2:9" x14ac:dyDescent="0.35">
      <c r="B2" s="72" t="s">
        <v>47</v>
      </c>
      <c r="C2" s="72"/>
      <c r="D2" s="72"/>
      <c r="E2" s="72"/>
      <c r="F2" s="72"/>
      <c r="G2" s="72"/>
      <c r="H2" s="72"/>
      <c r="I2" s="72"/>
    </row>
    <row r="3" spans="2:9" ht="39" customHeight="1" x14ac:dyDescent="0.35">
      <c r="B3" s="72" t="s">
        <v>4</v>
      </c>
      <c r="C3" s="72" t="s">
        <v>51</v>
      </c>
      <c r="D3" s="78" t="s">
        <v>53</v>
      </c>
      <c r="E3" s="72" t="s">
        <v>56</v>
      </c>
      <c r="F3" s="72"/>
      <c r="G3" s="72"/>
      <c r="H3" s="72"/>
      <c r="I3" s="72"/>
    </row>
    <row r="4" spans="2:9" x14ac:dyDescent="0.35">
      <c r="B4" s="72"/>
      <c r="C4" s="72"/>
      <c r="D4" s="78"/>
      <c r="E4" s="5">
        <v>1</v>
      </c>
      <c r="F4" s="5">
        <v>2</v>
      </c>
      <c r="G4" s="5">
        <v>3</v>
      </c>
      <c r="H4" s="5">
        <v>4</v>
      </c>
      <c r="I4" s="5">
        <v>5</v>
      </c>
    </row>
    <row r="5" spans="2:9" x14ac:dyDescent="0.35">
      <c r="B5" s="72" t="s">
        <v>48</v>
      </c>
      <c r="C5" s="73">
        <v>300</v>
      </c>
      <c r="D5" s="6" t="s">
        <v>6</v>
      </c>
      <c r="E5" s="5">
        <v>10</v>
      </c>
      <c r="F5" s="5">
        <v>30</v>
      </c>
      <c r="G5" s="5">
        <v>60</v>
      </c>
      <c r="H5" s="5">
        <v>90</v>
      </c>
      <c r="I5" s="5">
        <v>120</v>
      </c>
    </row>
    <row r="6" spans="2:9" x14ac:dyDescent="0.35">
      <c r="B6" s="72"/>
      <c r="C6" s="74"/>
      <c r="D6" s="6" t="s">
        <v>13</v>
      </c>
      <c r="E6" s="5">
        <v>0</v>
      </c>
      <c r="F6" s="5">
        <v>20</v>
      </c>
      <c r="G6" s="5">
        <v>60</v>
      </c>
      <c r="H6" s="5">
        <v>130</v>
      </c>
      <c r="I6" s="5">
        <v>180</v>
      </c>
    </row>
    <row r="7" spans="2:9" x14ac:dyDescent="0.35">
      <c r="B7" s="72" t="s">
        <v>49</v>
      </c>
      <c r="C7" s="73">
        <v>120</v>
      </c>
      <c r="D7" s="5" t="s">
        <v>54</v>
      </c>
      <c r="E7" s="5">
        <v>10</v>
      </c>
      <c r="F7" s="5">
        <v>10</v>
      </c>
      <c r="G7" s="5">
        <v>20</v>
      </c>
      <c r="H7" s="5">
        <v>30</v>
      </c>
      <c r="I7" s="5">
        <v>40</v>
      </c>
    </row>
    <row r="8" spans="2:9" x14ac:dyDescent="0.35">
      <c r="B8" s="72"/>
      <c r="C8" s="74"/>
      <c r="D8" s="5" t="s">
        <v>55</v>
      </c>
      <c r="E8" s="5">
        <v>10</v>
      </c>
      <c r="F8" s="5">
        <v>20</v>
      </c>
      <c r="G8" s="5">
        <v>40</v>
      </c>
      <c r="H8" s="5">
        <v>60</v>
      </c>
      <c r="I8" s="5">
        <v>80</v>
      </c>
    </row>
    <row r="9" spans="2:9" x14ac:dyDescent="0.35">
      <c r="B9" s="72" t="s">
        <v>50</v>
      </c>
      <c r="C9" s="73">
        <v>480</v>
      </c>
      <c r="D9" s="5" t="s">
        <v>34</v>
      </c>
      <c r="E9" s="5">
        <v>20</v>
      </c>
      <c r="F9" s="5">
        <v>40</v>
      </c>
      <c r="G9" s="5">
        <v>120</v>
      </c>
      <c r="H9" s="5">
        <v>160</v>
      </c>
      <c r="I9" s="5">
        <v>240</v>
      </c>
    </row>
    <row r="10" spans="2:9" x14ac:dyDescent="0.35">
      <c r="B10" s="72"/>
      <c r="C10" s="74"/>
      <c r="D10" s="5" t="s">
        <v>35</v>
      </c>
      <c r="E10" s="5">
        <v>20</v>
      </c>
      <c r="F10" s="5">
        <v>40</v>
      </c>
      <c r="G10" s="5">
        <v>120</v>
      </c>
      <c r="H10" s="5">
        <v>160</v>
      </c>
      <c r="I10" s="5">
        <v>240</v>
      </c>
    </row>
    <row r="11" spans="2:9" x14ac:dyDescent="0.35">
      <c r="B11" s="72" t="s">
        <v>97</v>
      </c>
      <c r="C11" s="73">
        <v>100</v>
      </c>
      <c r="D11" s="5" t="s">
        <v>21</v>
      </c>
      <c r="E11" s="5">
        <v>0</v>
      </c>
      <c r="F11" s="5">
        <v>10</v>
      </c>
      <c r="G11" s="5">
        <v>20</v>
      </c>
      <c r="H11" s="5">
        <v>30</v>
      </c>
      <c r="I11" s="5">
        <v>40</v>
      </c>
    </row>
    <row r="12" spans="2:9" x14ac:dyDescent="0.35">
      <c r="B12" s="72"/>
      <c r="C12" s="74"/>
      <c r="D12" s="5" t="s">
        <v>27</v>
      </c>
      <c r="E12" s="5">
        <v>0</v>
      </c>
      <c r="F12" s="5">
        <v>10</v>
      </c>
      <c r="G12" s="5">
        <v>20</v>
      </c>
      <c r="H12" s="5">
        <v>40</v>
      </c>
      <c r="I12" s="5">
        <v>60</v>
      </c>
    </row>
    <row r="13" spans="2:9" x14ac:dyDescent="0.35">
      <c r="B13" s="5" t="s">
        <v>52</v>
      </c>
      <c r="C13" s="5">
        <v>1000</v>
      </c>
      <c r="D13" s="7"/>
      <c r="E13" s="5">
        <v>50</v>
      </c>
      <c r="F13" s="75"/>
      <c r="G13" s="76"/>
      <c r="H13" s="77"/>
      <c r="I13" s="5">
        <v>1000</v>
      </c>
    </row>
    <row r="15" spans="2:9" x14ac:dyDescent="0.35">
      <c r="B15"/>
      <c r="C15"/>
      <c r="D15"/>
      <c r="E15"/>
      <c r="F15"/>
      <c r="G15"/>
      <c r="H15"/>
      <c r="I15"/>
    </row>
    <row r="16" spans="2:9" x14ac:dyDescent="0.35">
      <c r="B16"/>
      <c r="C16"/>
      <c r="D16"/>
      <c r="E16"/>
      <c r="F16"/>
      <c r="G16"/>
      <c r="H16"/>
      <c r="I16"/>
    </row>
  </sheetData>
  <mergeCells count="14">
    <mergeCell ref="B2:I2"/>
    <mergeCell ref="D3:D4"/>
    <mergeCell ref="E3:I3"/>
    <mergeCell ref="C3:C4"/>
    <mergeCell ref="B3:B4"/>
    <mergeCell ref="C11:C12"/>
    <mergeCell ref="C9:C10"/>
    <mergeCell ref="C7:C8"/>
    <mergeCell ref="F13:H13"/>
    <mergeCell ref="B5:B6"/>
    <mergeCell ref="B7:B8"/>
    <mergeCell ref="B9:B10"/>
    <mergeCell ref="B11:B12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ECEA-3B3D-42D7-91B5-D1B46255487A}">
  <dimension ref="B2:E60"/>
  <sheetViews>
    <sheetView showGridLines="0" zoomScale="70" zoomScaleNormal="70" workbookViewId="0">
      <selection activeCell="C56" sqref="C56:D60"/>
    </sheetView>
  </sheetViews>
  <sheetFormatPr defaultRowHeight="14.5" x14ac:dyDescent="0.35"/>
  <cols>
    <col min="2" max="2" width="32.7265625" style="1" bestFit="1" customWidth="1"/>
    <col min="3" max="3" width="11.81640625" style="3" customWidth="1"/>
    <col min="4" max="4" width="71.26953125" style="3" bestFit="1" customWidth="1"/>
    <col min="5" max="5" width="22.1796875" style="3" customWidth="1"/>
    <col min="6" max="6" width="13.1796875" customWidth="1"/>
  </cols>
  <sheetData>
    <row r="2" spans="2:5" x14ac:dyDescent="0.35">
      <c r="B2" s="89" t="s">
        <v>19</v>
      </c>
      <c r="C2" s="89"/>
      <c r="D2" s="89"/>
      <c r="E2" s="89"/>
    </row>
    <row r="3" spans="2:5" x14ac:dyDescent="0.35">
      <c r="B3" s="5" t="s">
        <v>4</v>
      </c>
      <c r="C3" s="4" t="s">
        <v>5</v>
      </c>
      <c r="D3" s="4" t="s">
        <v>7</v>
      </c>
      <c r="E3" s="4" t="s">
        <v>12</v>
      </c>
    </row>
    <row r="4" spans="2:5" x14ac:dyDescent="0.35">
      <c r="B4" s="72" t="s">
        <v>6</v>
      </c>
      <c r="C4" s="4">
        <v>1</v>
      </c>
      <c r="D4" s="4" t="s">
        <v>8</v>
      </c>
      <c r="E4" s="4">
        <v>10</v>
      </c>
    </row>
    <row r="5" spans="2:5" x14ac:dyDescent="0.35">
      <c r="B5" s="72"/>
      <c r="C5" s="4">
        <v>2</v>
      </c>
      <c r="D5" s="4" t="s">
        <v>9</v>
      </c>
      <c r="E5" s="4">
        <v>30</v>
      </c>
    </row>
    <row r="6" spans="2:5" x14ac:dyDescent="0.35">
      <c r="B6" s="72"/>
      <c r="C6" s="4">
        <v>3</v>
      </c>
      <c r="D6" s="4" t="s">
        <v>10</v>
      </c>
      <c r="E6" s="4">
        <v>60</v>
      </c>
    </row>
    <row r="7" spans="2:5" x14ac:dyDescent="0.35">
      <c r="B7" s="72"/>
      <c r="C7" s="4">
        <v>4</v>
      </c>
      <c r="D7" s="4" t="s">
        <v>11</v>
      </c>
      <c r="E7" s="4">
        <v>90</v>
      </c>
    </row>
    <row r="8" spans="2:5" x14ac:dyDescent="0.35">
      <c r="B8" s="72"/>
      <c r="C8" s="4">
        <v>5</v>
      </c>
      <c r="D8" s="4" t="s">
        <v>89</v>
      </c>
      <c r="E8" s="4">
        <v>120</v>
      </c>
    </row>
    <row r="9" spans="2:5" x14ac:dyDescent="0.35">
      <c r="B9" s="79" t="s">
        <v>13</v>
      </c>
      <c r="C9" s="4">
        <v>1</v>
      </c>
      <c r="D9" s="4" t="s">
        <v>14</v>
      </c>
      <c r="E9" s="4">
        <v>0</v>
      </c>
    </row>
    <row r="10" spans="2:5" x14ac:dyDescent="0.35">
      <c r="B10" s="80"/>
      <c r="C10" s="4">
        <v>2</v>
      </c>
      <c r="D10" s="4" t="s">
        <v>15</v>
      </c>
      <c r="E10" s="4">
        <v>20</v>
      </c>
    </row>
    <row r="11" spans="2:5" x14ac:dyDescent="0.35">
      <c r="B11" s="80"/>
      <c r="C11" s="4">
        <v>3</v>
      </c>
      <c r="D11" s="4" t="s">
        <v>16</v>
      </c>
      <c r="E11" s="4">
        <v>60</v>
      </c>
    </row>
    <row r="12" spans="2:5" x14ac:dyDescent="0.35">
      <c r="B12" s="80"/>
      <c r="C12" s="4">
        <v>4</v>
      </c>
      <c r="D12" s="4" t="s">
        <v>17</v>
      </c>
      <c r="E12" s="4">
        <v>130</v>
      </c>
    </row>
    <row r="13" spans="2:5" x14ac:dyDescent="0.35">
      <c r="B13" s="81"/>
      <c r="C13" s="4">
        <v>5</v>
      </c>
      <c r="D13" s="4" t="s">
        <v>18</v>
      </c>
      <c r="E13" s="4">
        <v>180</v>
      </c>
    </row>
    <row r="15" spans="2:5" x14ac:dyDescent="0.35">
      <c r="B15" s="82" t="s">
        <v>108</v>
      </c>
      <c r="C15" s="83"/>
      <c r="D15" s="83"/>
      <c r="E15" s="84"/>
    </row>
    <row r="16" spans="2:5" x14ac:dyDescent="0.35">
      <c r="B16" s="5" t="s">
        <v>4</v>
      </c>
      <c r="C16" s="4" t="s">
        <v>5</v>
      </c>
      <c r="D16" s="4" t="s">
        <v>7</v>
      </c>
      <c r="E16" s="4" t="s">
        <v>12</v>
      </c>
    </row>
    <row r="17" spans="2:5" x14ac:dyDescent="0.35">
      <c r="B17" s="73" t="s">
        <v>54</v>
      </c>
      <c r="C17" s="4">
        <v>1</v>
      </c>
      <c r="D17" s="30" t="s">
        <v>98</v>
      </c>
      <c r="E17" s="4">
        <v>10</v>
      </c>
    </row>
    <row r="18" spans="2:5" x14ac:dyDescent="0.35">
      <c r="B18" s="85"/>
      <c r="C18" s="4">
        <v>2</v>
      </c>
      <c r="D18" s="30" t="s">
        <v>99</v>
      </c>
      <c r="E18" s="4">
        <v>10</v>
      </c>
    </row>
    <row r="19" spans="2:5" x14ac:dyDescent="0.35">
      <c r="B19" s="85"/>
      <c r="C19" s="4">
        <v>3</v>
      </c>
      <c r="D19" s="30" t="s">
        <v>100</v>
      </c>
      <c r="E19" s="4">
        <v>20</v>
      </c>
    </row>
    <row r="20" spans="2:5" x14ac:dyDescent="0.35">
      <c r="B20" s="85"/>
      <c r="C20" s="4">
        <v>4</v>
      </c>
      <c r="D20" s="30" t="s">
        <v>101</v>
      </c>
      <c r="E20" s="4">
        <v>30</v>
      </c>
    </row>
    <row r="21" spans="2:5" x14ac:dyDescent="0.35">
      <c r="B21" s="74"/>
      <c r="C21" s="4">
        <v>5</v>
      </c>
      <c r="D21" s="30" t="s">
        <v>102</v>
      </c>
      <c r="E21" s="4">
        <v>40</v>
      </c>
    </row>
    <row r="22" spans="2:5" x14ac:dyDescent="0.35">
      <c r="B22" s="73" t="s">
        <v>55</v>
      </c>
      <c r="C22" s="4">
        <v>1</v>
      </c>
      <c r="D22" s="30" t="s">
        <v>103</v>
      </c>
      <c r="E22" s="4">
        <v>10</v>
      </c>
    </row>
    <row r="23" spans="2:5" x14ac:dyDescent="0.35">
      <c r="B23" s="85"/>
      <c r="C23" s="4">
        <v>2</v>
      </c>
      <c r="D23" s="30" t="s">
        <v>104</v>
      </c>
      <c r="E23" s="4">
        <v>20</v>
      </c>
    </row>
    <row r="24" spans="2:5" x14ac:dyDescent="0.35">
      <c r="B24" s="85"/>
      <c r="C24" s="4">
        <v>3</v>
      </c>
      <c r="D24" s="30" t="s">
        <v>106</v>
      </c>
      <c r="E24" s="4">
        <v>40</v>
      </c>
    </row>
    <row r="25" spans="2:5" x14ac:dyDescent="0.35">
      <c r="B25" s="85"/>
      <c r="C25" s="4">
        <v>4</v>
      </c>
      <c r="D25" s="30" t="s">
        <v>105</v>
      </c>
      <c r="E25" s="4">
        <v>60</v>
      </c>
    </row>
    <row r="26" spans="2:5" x14ac:dyDescent="0.35">
      <c r="B26" s="74"/>
      <c r="C26" s="4">
        <v>5</v>
      </c>
      <c r="D26" s="30" t="s">
        <v>107</v>
      </c>
      <c r="E26" s="4">
        <v>80</v>
      </c>
    </row>
    <row r="27" spans="2:5" x14ac:dyDescent="0.35">
      <c r="B27" s="31"/>
      <c r="C27" s="32"/>
      <c r="D27" s="29"/>
      <c r="E27" s="33"/>
    </row>
    <row r="28" spans="2:5" x14ac:dyDescent="0.35">
      <c r="B28" s="82" t="s">
        <v>33</v>
      </c>
      <c r="C28" s="83"/>
      <c r="D28" s="83"/>
      <c r="E28" s="84"/>
    </row>
    <row r="29" spans="2:5" x14ac:dyDescent="0.35">
      <c r="B29" s="5" t="s">
        <v>4</v>
      </c>
      <c r="C29" s="4" t="s">
        <v>5</v>
      </c>
      <c r="D29" s="4" t="s">
        <v>7</v>
      </c>
      <c r="E29" s="4" t="s">
        <v>12</v>
      </c>
    </row>
    <row r="30" spans="2:5" x14ac:dyDescent="0.35">
      <c r="B30" s="73" t="s">
        <v>34</v>
      </c>
      <c r="C30" s="4">
        <v>1</v>
      </c>
      <c r="D30" s="4" t="s">
        <v>37</v>
      </c>
      <c r="E30" s="4">
        <v>20</v>
      </c>
    </row>
    <row r="31" spans="2:5" x14ac:dyDescent="0.35">
      <c r="B31" s="85"/>
      <c r="C31" s="4">
        <v>2</v>
      </c>
      <c r="D31" s="4" t="s">
        <v>36</v>
      </c>
      <c r="E31" s="4">
        <v>40</v>
      </c>
    </row>
    <row r="32" spans="2:5" x14ac:dyDescent="0.35">
      <c r="B32" s="85"/>
      <c r="C32" s="4">
        <v>3</v>
      </c>
      <c r="D32" s="4" t="s">
        <v>38</v>
      </c>
      <c r="E32" s="4">
        <v>120</v>
      </c>
    </row>
    <row r="33" spans="2:5" ht="14.25" customHeight="1" x14ac:dyDescent="0.35">
      <c r="B33" s="85"/>
      <c r="C33" s="4">
        <v>4</v>
      </c>
      <c r="D33" s="4" t="s">
        <v>39</v>
      </c>
      <c r="E33" s="4">
        <v>160</v>
      </c>
    </row>
    <row r="34" spans="2:5" x14ac:dyDescent="0.35">
      <c r="B34" s="74"/>
      <c r="C34" s="4">
        <v>5</v>
      </c>
      <c r="D34" s="4" t="s">
        <v>42</v>
      </c>
      <c r="E34" s="4">
        <v>240</v>
      </c>
    </row>
    <row r="35" spans="2:5" x14ac:dyDescent="0.35">
      <c r="B35" s="73" t="s">
        <v>35</v>
      </c>
      <c r="C35" s="4">
        <v>1</v>
      </c>
      <c r="D35" s="4" t="s">
        <v>40</v>
      </c>
      <c r="E35" s="4">
        <v>0</v>
      </c>
    </row>
    <row r="36" spans="2:5" x14ac:dyDescent="0.35">
      <c r="B36" s="85"/>
      <c r="C36" s="4">
        <v>2</v>
      </c>
      <c r="D36" s="4" t="s">
        <v>41</v>
      </c>
      <c r="E36" s="4">
        <v>40</v>
      </c>
    </row>
    <row r="37" spans="2:5" x14ac:dyDescent="0.35">
      <c r="B37" s="85"/>
      <c r="C37" s="4">
        <v>3</v>
      </c>
      <c r="D37" s="4" t="s">
        <v>43</v>
      </c>
      <c r="E37" s="4">
        <v>120</v>
      </c>
    </row>
    <row r="38" spans="2:5" x14ac:dyDescent="0.35">
      <c r="B38" s="85"/>
      <c r="C38" s="4">
        <v>4</v>
      </c>
      <c r="D38" s="4" t="s">
        <v>44</v>
      </c>
      <c r="E38" s="4">
        <v>160</v>
      </c>
    </row>
    <row r="39" spans="2:5" x14ac:dyDescent="0.35">
      <c r="B39" s="74"/>
      <c r="C39" s="4">
        <v>5</v>
      </c>
      <c r="D39" s="4" t="s">
        <v>45</v>
      </c>
      <c r="E39" s="4">
        <v>240</v>
      </c>
    </row>
    <row r="41" spans="2:5" x14ac:dyDescent="0.35">
      <c r="B41" s="89" t="s">
        <v>20</v>
      </c>
      <c r="C41" s="89"/>
      <c r="D41" s="89"/>
      <c r="E41" s="89"/>
    </row>
    <row r="42" spans="2:5" x14ac:dyDescent="0.35">
      <c r="B42" s="5" t="s">
        <v>4</v>
      </c>
      <c r="C42" s="4" t="s">
        <v>5</v>
      </c>
      <c r="D42" s="4" t="s">
        <v>7</v>
      </c>
      <c r="E42" s="4" t="s">
        <v>12</v>
      </c>
    </row>
    <row r="43" spans="2:5" x14ac:dyDescent="0.35">
      <c r="B43" s="73" t="s">
        <v>21</v>
      </c>
      <c r="C43" s="4">
        <v>1</v>
      </c>
      <c r="D43" s="4" t="s">
        <v>22</v>
      </c>
      <c r="E43" s="4">
        <v>0</v>
      </c>
    </row>
    <row r="44" spans="2:5" x14ac:dyDescent="0.35">
      <c r="B44" s="85"/>
      <c r="C44" s="4">
        <v>2</v>
      </c>
      <c r="D44" s="4" t="s">
        <v>23</v>
      </c>
      <c r="E44" s="4">
        <v>10</v>
      </c>
    </row>
    <row r="45" spans="2:5" x14ac:dyDescent="0.35">
      <c r="B45" s="85"/>
      <c r="C45" s="4">
        <v>3</v>
      </c>
      <c r="D45" s="4" t="s">
        <v>24</v>
      </c>
      <c r="E45" s="4">
        <v>20</v>
      </c>
    </row>
    <row r="46" spans="2:5" x14ac:dyDescent="0.35">
      <c r="B46" s="85"/>
      <c r="C46" s="4">
        <v>4</v>
      </c>
      <c r="D46" s="4" t="s">
        <v>25</v>
      </c>
      <c r="E46" s="4">
        <v>30</v>
      </c>
    </row>
    <row r="47" spans="2:5" x14ac:dyDescent="0.35">
      <c r="B47" s="74"/>
      <c r="C47" s="4">
        <v>5</v>
      </c>
      <c r="D47" s="4" t="s">
        <v>26</v>
      </c>
      <c r="E47" s="4">
        <v>40</v>
      </c>
    </row>
    <row r="48" spans="2:5" x14ac:dyDescent="0.35">
      <c r="B48" s="79" t="s">
        <v>27</v>
      </c>
      <c r="C48" s="4">
        <v>1</v>
      </c>
      <c r="D48" s="4" t="s">
        <v>28</v>
      </c>
      <c r="E48" s="4">
        <v>0</v>
      </c>
    </row>
    <row r="49" spans="2:5" x14ac:dyDescent="0.35">
      <c r="B49" s="80"/>
      <c r="C49" s="4">
        <v>2</v>
      </c>
      <c r="D49" s="4" t="s">
        <v>29</v>
      </c>
      <c r="E49" s="4">
        <v>10</v>
      </c>
    </row>
    <row r="50" spans="2:5" x14ac:dyDescent="0.35">
      <c r="B50" s="80"/>
      <c r="C50" s="4">
        <v>3</v>
      </c>
      <c r="D50" s="4" t="s">
        <v>30</v>
      </c>
      <c r="E50" s="4">
        <v>20</v>
      </c>
    </row>
    <row r="51" spans="2:5" x14ac:dyDescent="0.35">
      <c r="B51" s="80"/>
      <c r="C51" s="4">
        <v>4</v>
      </c>
      <c r="D51" s="4" t="s">
        <v>31</v>
      </c>
      <c r="E51" s="4">
        <v>40</v>
      </c>
    </row>
    <row r="52" spans="2:5" x14ac:dyDescent="0.35">
      <c r="B52" s="81"/>
      <c r="C52" s="4">
        <v>5</v>
      </c>
      <c r="D52" s="4" t="s">
        <v>32</v>
      </c>
      <c r="E52" s="4">
        <v>60</v>
      </c>
    </row>
    <row r="55" spans="2:5" x14ac:dyDescent="0.35">
      <c r="C55" s="87" t="s">
        <v>46</v>
      </c>
      <c r="D55" s="88"/>
    </row>
    <row r="56" spans="2:5" x14ac:dyDescent="0.35">
      <c r="C56" s="86" t="s">
        <v>152</v>
      </c>
      <c r="D56" s="86"/>
    </row>
    <row r="57" spans="2:5" x14ac:dyDescent="0.35">
      <c r="C57" s="86"/>
      <c r="D57" s="86"/>
    </row>
    <row r="58" spans="2:5" x14ac:dyDescent="0.35">
      <c r="C58" s="86"/>
      <c r="D58" s="86"/>
    </row>
    <row r="59" spans="2:5" ht="90.75" customHeight="1" x14ac:dyDescent="0.35">
      <c r="C59" s="86"/>
      <c r="D59" s="86"/>
    </row>
    <row r="60" spans="2:5" x14ac:dyDescent="0.35">
      <c r="C60" s="86"/>
      <c r="D60" s="86"/>
      <c r="E60" s="2"/>
    </row>
  </sheetData>
  <mergeCells count="14">
    <mergeCell ref="B4:B8"/>
    <mergeCell ref="B2:E2"/>
    <mergeCell ref="B9:B13"/>
    <mergeCell ref="B41:E41"/>
    <mergeCell ref="B43:B47"/>
    <mergeCell ref="B15:E15"/>
    <mergeCell ref="B17:B21"/>
    <mergeCell ref="B22:B26"/>
    <mergeCell ref="B48:B52"/>
    <mergeCell ref="B28:E28"/>
    <mergeCell ref="B30:B34"/>
    <mergeCell ref="B35:B39"/>
    <mergeCell ref="C56:D60"/>
    <mergeCell ref="C55:D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C77A-C3C6-416C-9B1B-700CFAECEA32}">
  <dimension ref="A1:AQ11"/>
  <sheetViews>
    <sheetView showGridLines="0" topLeftCell="A4" zoomScale="55" zoomScaleNormal="55" workbookViewId="0">
      <pane xSplit="2" ySplit="3" topLeftCell="C7" activePane="bottomRight" state="frozen"/>
      <selection activeCell="A4" sqref="A4"/>
      <selection pane="topRight" activeCell="C4" sqref="C4"/>
      <selection pane="bottomLeft" activeCell="A7" sqref="A7"/>
      <selection pane="bottomRight" activeCell="A7" sqref="A7"/>
    </sheetView>
  </sheetViews>
  <sheetFormatPr defaultColWidth="11.453125" defaultRowHeight="14.5" x14ac:dyDescent="0.35"/>
  <cols>
    <col min="1" max="1" width="7.54296875" style="28" customWidth="1"/>
    <col min="2" max="2" width="48.1796875" style="28" customWidth="1"/>
    <col min="3" max="12" width="12.54296875" style="28" customWidth="1"/>
    <col min="13" max="22" width="22.81640625" style="27" customWidth="1"/>
    <col min="23" max="27" width="22.81640625" style="26" customWidth="1"/>
    <col min="28" max="28" width="22.7265625" style="26" bestFit="1" customWidth="1"/>
    <col min="29" max="29" width="25.1796875" style="26" bestFit="1" customWidth="1"/>
    <col min="30" max="30" width="30.54296875" style="26" bestFit="1" customWidth="1"/>
    <col min="31" max="31" width="24.81640625" style="26" bestFit="1" customWidth="1"/>
    <col min="32" max="32" width="25.26953125" style="26" bestFit="1" customWidth="1"/>
    <col min="33" max="37" width="22.81640625" style="27" customWidth="1"/>
    <col min="38" max="42" width="22" style="27" customWidth="1"/>
    <col min="43" max="43" width="13.7265625" style="28" customWidth="1"/>
    <col min="44" max="256" width="11.453125" style="28"/>
    <col min="257" max="257" width="7.54296875" style="28" customWidth="1"/>
    <col min="258" max="258" width="48.1796875" style="28" customWidth="1"/>
    <col min="259" max="268" width="12.54296875" style="28" customWidth="1"/>
    <col min="269" max="283" width="22.81640625" style="28" customWidth="1"/>
    <col min="284" max="288" width="12.453125" style="28" customWidth="1"/>
    <col min="289" max="293" width="22.81640625" style="28" customWidth="1"/>
    <col min="294" max="298" width="22" style="28" customWidth="1"/>
    <col min="299" max="299" width="13.7265625" style="28" customWidth="1"/>
    <col min="300" max="512" width="11.453125" style="28"/>
    <col min="513" max="513" width="7.54296875" style="28" customWidth="1"/>
    <col min="514" max="514" width="48.1796875" style="28" customWidth="1"/>
    <col min="515" max="524" width="12.54296875" style="28" customWidth="1"/>
    <col min="525" max="539" width="22.81640625" style="28" customWidth="1"/>
    <col min="540" max="544" width="12.453125" style="28" customWidth="1"/>
    <col min="545" max="549" width="22.81640625" style="28" customWidth="1"/>
    <col min="550" max="554" width="22" style="28" customWidth="1"/>
    <col min="555" max="555" width="13.7265625" style="28" customWidth="1"/>
    <col min="556" max="768" width="11.453125" style="28"/>
    <col min="769" max="769" width="7.54296875" style="28" customWidth="1"/>
    <col min="770" max="770" width="48.1796875" style="28" customWidth="1"/>
    <col min="771" max="780" width="12.54296875" style="28" customWidth="1"/>
    <col min="781" max="795" width="22.81640625" style="28" customWidth="1"/>
    <col min="796" max="800" width="12.453125" style="28" customWidth="1"/>
    <col min="801" max="805" width="22.81640625" style="28" customWidth="1"/>
    <col min="806" max="810" width="22" style="28" customWidth="1"/>
    <col min="811" max="811" width="13.7265625" style="28" customWidth="1"/>
    <col min="812" max="1024" width="11.453125" style="28"/>
    <col min="1025" max="1025" width="7.54296875" style="28" customWidth="1"/>
    <col min="1026" max="1026" width="48.1796875" style="28" customWidth="1"/>
    <col min="1027" max="1036" width="12.54296875" style="28" customWidth="1"/>
    <col min="1037" max="1051" width="22.81640625" style="28" customWidth="1"/>
    <col min="1052" max="1056" width="12.453125" style="28" customWidth="1"/>
    <col min="1057" max="1061" width="22.81640625" style="28" customWidth="1"/>
    <col min="1062" max="1066" width="22" style="28" customWidth="1"/>
    <col min="1067" max="1067" width="13.7265625" style="28" customWidth="1"/>
    <col min="1068" max="1280" width="11.453125" style="28"/>
    <col min="1281" max="1281" width="7.54296875" style="28" customWidth="1"/>
    <col min="1282" max="1282" width="48.1796875" style="28" customWidth="1"/>
    <col min="1283" max="1292" width="12.54296875" style="28" customWidth="1"/>
    <col min="1293" max="1307" width="22.81640625" style="28" customWidth="1"/>
    <col min="1308" max="1312" width="12.453125" style="28" customWidth="1"/>
    <col min="1313" max="1317" width="22.81640625" style="28" customWidth="1"/>
    <col min="1318" max="1322" width="22" style="28" customWidth="1"/>
    <col min="1323" max="1323" width="13.7265625" style="28" customWidth="1"/>
    <col min="1324" max="1536" width="11.453125" style="28"/>
    <col min="1537" max="1537" width="7.54296875" style="28" customWidth="1"/>
    <col min="1538" max="1538" width="48.1796875" style="28" customWidth="1"/>
    <col min="1539" max="1548" width="12.54296875" style="28" customWidth="1"/>
    <col min="1549" max="1563" width="22.81640625" style="28" customWidth="1"/>
    <col min="1564" max="1568" width="12.453125" style="28" customWidth="1"/>
    <col min="1569" max="1573" width="22.81640625" style="28" customWidth="1"/>
    <col min="1574" max="1578" width="22" style="28" customWidth="1"/>
    <col min="1579" max="1579" width="13.7265625" style="28" customWidth="1"/>
    <col min="1580" max="1792" width="11.453125" style="28"/>
    <col min="1793" max="1793" width="7.54296875" style="28" customWidth="1"/>
    <col min="1794" max="1794" width="48.1796875" style="28" customWidth="1"/>
    <col min="1795" max="1804" width="12.54296875" style="28" customWidth="1"/>
    <col min="1805" max="1819" width="22.81640625" style="28" customWidth="1"/>
    <col min="1820" max="1824" width="12.453125" style="28" customWidth="1"/>
    <col min="1825" max="1829" width="22.81640625" style="28" customWidth="1"/>
    <col min="1830" max="1834" width="22" style="28" customWidth="1"/>
    <col min="1835" max="1835" width="13.7265625" style="28" customWidth="1"/>
    <col min="1836" max="2048" width="11.453125" style="28"/>
    <col min="2049" max="2049" width="7.54296875" style="28" customWidth="1"/>
    <col min="2050" max="2050" width="48.1796875" style="28" customWidth="1"/>
    <col min="2051" max="2060" width="12.54296875" style="28" customWidth="1"/>
    <col min="2061" max="2075" width="22.81640625" style="28" customWidth="1"/>
    <col min="2076" max="2080" width="12.453125" style="28" customWidth="1"/>
    <col min="2081" max="2085" width="22.81640625" style="28" customWidth="1"/>
    <col min="2086" max="2090" width="22" style="28" customWidth="1"/>
    <col min="2091" max="2091" width="13.7265625" style="28" customWidth="1"/>
    <col min="2092" max="2304" width="11.453125" style="28"/>
    <col min="2305" max="2305" width="7.54296875" style="28" customWidth="1"/>
    <col min="2306" max="2306" width="48.1796875" style="28" customWidth="1"/>
    <col min="2307" max="2316" width="12.54296875" style="28" customWidth="1"/>
    <col min="2317" max="2331" width="22.81640625" style="28" customWidth="1"/>
    <col min="2332" max="2336" width="12.453125" style="28" customWidth="1"/>
    <col min="2337" max="2341" width="22.81640625" style="28" customWidth="1"/>
    <col min="2342" max="2346" width="22" style="28" customWidth="1"/>
    <col min="2347" max="2347" width="13.7265625" style="28" customWidth="1"/>
    <col min="2348" max="2560" width="11.453125" style="28"/>
    <col min="2561" max="2561" width="7.54296875" style="28" customWidth="1"/>
    <col min="2562" max="2562" width="48.1796875" style="28" customWidth="1"/>
    <col min="2563" max="2572" width="12.54296875" style="28" customWidth="1"/>
    <col min="2573" max="2587" width="22.81640625" style="28" customWidth="1"/>
    <col min="2588" max="2592" width="12.453125" style="28" customWidth="1"/>
    <col min="2593" max="2597" width="22.81640625" style="28" customWidth="1"/>
    <col min="2598" max="2602" width="22" style="28" customWidth="1"/>
    <col min="2603" max="2603" width="13.7265625" style="28" customWidth="1"/>
    <col min="2604" max="2816" width="11.453125" style="28"/>
    <col min="2817" max="2817" width="7.54296875" style="28" customWidth="1"/>
    <col min="2818" max="2818" width="48.1796875" style="28" customWidth="1"/>
    <col min="2819" max="2828" width="12.54296875" style="28" customWidth="1"/>
    <col min="2829" max="2843" width="22.81640625" style="28" customWidth="1"/>
    <col min="2844" max="2848" width="12.453125" style="28" customWidth="1"/>
    <col min="2849" max="2853" width="22.81640625" style="28" customWidth="1"/>
    <col min="2854" max="2858" width="22" style="28" customWidth="1"/>
    <col min="2859" max="2859" width="13.7265625" style="28" customWidth="1"/>
    <col min="2860" max="3072" width="11.453125" style="28"/>
    <col min="3073" max="3073" width="7.54296875" style="28" customWidth="1"/>
    <col min="3074" max="3074" width="48.1796875" style="28" customWidth="1"/>
    <col min="3075" max="3084" width="12.54296875" style="28" customWidth="1"/>
    <col min="3085" max="3099" width="22.81640625" style="28" customWidth="1"/>
    <col min="3100" max="3104" width="12.453125" style="28" customWidth="1"/>
    <col min="3105" max="3109" width="22.81640625" style="28" customWidth="1"/>
    <col min="3110" max="3114" width="22" style="28" customWidth="1"/>
    <col min="3115" max="3115" width="13.7265625" style="28" customWidth="1"/>
    <col min="3116" max="3328" width="11.453125" style="28"/>
    <col min="3329" max="3329" width="7.54296875" style="28" customWidth="1"/>
    <col min="3330" max="3330" width="48.1796875" style="28" customWidth="1"/>
    <col min="3331" max="3340" width="12.54296875" style="28" customWidth="1"/>
    <col min="3341" max="3355" width="22.81640625" style="28" customWidth="1"/>
    <col min="3356" max="3360" width="12.453125" style="28" customWidth="1"/>
    <col min="3361" max="3365" width="22.81640625" style="28" customWidth="1"/>
    <col min="3366" max="3370" width="22" style="28" customWidth="1"/>
    <col min="3371" max="3371" width="13.7265625" style="28" customWidth="1"/>
    <col min="3372" max="3584" width="11.453125" style="28"/>
    <col min="3585" max="3585" width="7.54296875" style="28" customWidth="1"/>
    <col min="3586" max="3586" width="48.1796875" style="28" customWidth="1"/>
    <col min="3587" max="3596" width="12.54296875" style="28" customWidth="1"/>
    <col min="3597" max="3611" width="22.81640625" style="28" customWidth="1"/>
    <col min="3612" max="3616" width="12.453125" style="28" customWidth="1"/>
    <col min="3617" max="3621" width="22.81640625" style="28" customWidth="1"/>
    <col min="3622" max="3626" width="22" style="28" customWidth="1"/>
    <col min="3627" max="3627" width="13.7265625" style="28" customWidth="1"/>
    <col min="3628" max="3840" width="11.453125" style="28"/>
    <col min="3841" max="3841" width="7.54296875" style="28" customWidth="1"/>
    <col min="3842" max="3842" width="48.1796875" style="28" customWidth="1"/>
    <col min="3843" max="3852" width="12.54296875" style="28" customWidth="1"/>
    <col min="3853" max="3867" width="22.81640625" style="28" customWidth="1"/>
    <col min="3868" max="3872" width="12.453125" style="28" customWidth="1"/>
    <col min="3873" max="3877" width="22.81640625" style="28" customWidth="1"/>
    <col min="3878" max="3882" width="22" style="28" customWidth="1"/>
    <col min="3883" max="3883" width="13.7265625" style="28" customWidth="1"/>
    <col min="3884" max="4096" width="11.453125" style="28"/>
    <col min="4097" max="4097" width="7.54296875" style="28" customWidth="1"/>
    <col min="4098" max="4098" width="48.1796875" style="28" customWidth="1"/>
    <col min="4099" max="4108" width="12.54296875" style="28" customWidth="1"/>
    <col min="4109" max="4123" width="22.81640625" style="28" customWidth="1"/>
    <col min="4124" max="4128" width="12.453125" style="28" customWidth="1"/>
    <col min="4129" max="4133" width="22.81640625" style="28" customWidth="1"/>
    <col min="4134" max="4138" width="22" style="28" customWidth="1"/>
    <col min="4139" max="4139" width="13.7265625" style="28" customWidth="1"/>
    <col min="4140" max="4352" width="11.453125" style="28"/>
    <col min="4353" max="4353" width="7.54296875" style="28" customWidth="1"/>
    <col min="4354" max="4354" width="48.1796875" style="28" customWidth="1"/>
    <col min="4355" max="4364" width="12.54296875" style="28" customWidth="1"/>
    <col min="4365" max="4379" width="22.81640625" style="28" customWidth="1"/>
    <col min="4380" max="4384" width="12.453125" style="28" customWidth="1"/>
    <col min="4385" max="4389" width="22.81640625" style="28" customWidth="1"/>
    <col min="4390" max="4394" width="22" style="28" customWidth="1"/>
    <col min="4395" max="4395" width="13.7265625" style="28" customWidth="1"/>
    <col min="4396" max="4608" width="11.453125" style="28"/>
    <col min="4609" max="4609" width="7.54296875" style="28" customWidth="1"/>
    <col min="4610" max="4610" width="48.1796875" style="28" customWidth="1"/>
    <col min="4611" max="4620" width="12.54296875" style="28" customWidth="1"/>
    <col min="4621" max="4635" width="22.81640625" style="28" customWidth="1"/>
    <col min="4636" max="4640" width="12.453125" style="28" customWidth="1"/>
    <col min="4641" max="4645" width="22.81640625" style="28" customWidth="1"/>
    <col min="4646" max="4650" width="22" style="28" customWidth="1"/>
    <col min="4651" max="4651" width="13.7265625" style="28" customWidth="1"/>
    <col min="4652" max="4864" width="11.453125" style="28"/>
    <col min="4865" max="4865" width="7.54296875" style="28" customWidth="1"/>
    <col min="4866" max="4866" width="48.1796875" style="28" customWidth="1"/>
    <col min="4867" max="4876" width="12.54296875" style="28" customWidth="1"/>
    <col min="4877" max="4891" width="22.81640625" style="28" customWidth="1"/>
    <col min="4892" max="4896" width="12.453125" style="28" customWidth="1"/>
    <col min="4897" max="4901" width="22.81640625" style="28" customWidth="1"/>
    <col min="4902" max="4906" width="22" style="28" customWidth="1"/>
    <col min="4907" max="4907" width="13.7265625" style="28" customWidth="1"/>
    <col min="4908" max="5120" width="11.453125" style="28"/>
    <col min="5121" max="5121" width="7.54296875" style="28" customWidth="1"/>
    <col min="5122" max="5122" width="48.1796875" style="28" customWidth="1"/>
    <col min="5123" max="5132" width="12.54296875" style="28" customWidth="1"/>
    <col min="5133" max="5147" width="22.81640625" style="28" customWidth="1"/>
    <col min="5148" max="5152" width="12.453125" style="28" customWidth="1"/>
    <col min="5153" max="5157" width="22.81640625" style="28" customWidth="1"/>
    <col min="5158" max="5162" width="22" style="28" customWidth="1"/>
    <col min="5163" max="5163" width="13.7265625" style="28" customWidth="1"/>
    <col min="5164" max="5376" width="11.453125" style="28"/>
    <col min="5377" max="5377" width="7.54296875" style="28" customWidth="1"/>
    <col min="5378" max="5378" width="48.1796875" style="28" customWidth="1"/>
    <col min="5379" max="5388" width="12.54296875" style="28" customWidth="1"/>
    <col min="5389" max="5403" width="22.81640625" style="28" customWidth="1"/>
    <col min="5404" max="5408" width="12.453125" style="28" customWidth="1"/>
    <col min="5409" max="5413" width="22.81640625" style="28" customWidth="1"/>
    <col min="5414" max="5418" width="22" style="28" customWidth="1"/>
    <col min="5419" max="5419" width="13.7265625" style="28" customWidth="1"/>
    <col min="5420" max="5632" width="11.453125" style="28"/>
    <col min="5633" max="5633" width="7.54296875" style="28" customWidth="1"/>
    <col min="5634" max="5634" width="48.1796875" style="28" customWidth="1"/>
    <col min="5635" max="5644" width="12.54296875" style="28" customWidth="1"/>
    <col min="5645" max="5659" width="22.81640625" style="28" customWidth="1"/>
    <col min="5660" max="5664" width="12.453125" style="28" customWidth="1"/>
    <col min="5665" max="5669" width="22.81640625" style="28" customWidth="1"/>
    <col min="5670" max="5674" width="22" style="28" customWidth="1"/>
    <col min="5675" max="5675" width="13.7265625" style="28" customWidth="1"/>
    <col min="5676" max="5888" width="11.453125" style="28"/>
    <col min="5889" max="5889" width="7.54296875" style="28" customWidth="1"/>
    <col min="5890" max="5890" width="48.1796875" style="28" customWidth="1"/>
    <col min="5891" max="5900" width="12.54296875" style="28" customWidth="1"/>
    <col min="5901" max="5915" width="22.81640625" style="28" customWidth="1"/>
    <col min="5916" max="5920" width="12.453125" style="28" customWidth="1"/>
    <col min="5921" max="5925" width="22.81640625" style="28" customWidth="1"/>
    <col min="5926" max="5930" width="22" style="28" customWidth="1"/>
    <col min="5931" max="5931" width="13.7265625" style="28" customWidth="1"/>
    <col min="5932" max="6144" width="11.453125" style="28"/>
    <col min="6145" max="6145" width="7.54296875" style="28" customWidth="1"/>
    <col min="6146" max="6146" width="48.1796875" style="28" customWidth="1"/>
    <col min="6147" max="6156" width="12.54296875" style="28" customWidth="1"/>
    <col min="6157" max="6171" width="22.81640625" style="28" customWidth="1"/>
    <col min="6172" max="6176" width="12.453125" style="28" customWidth="1"/>
    <col min="6177" max="6181" width="22.81640625" style="28" customWidth="1"/>
    <col min="6182" max="6186" width="22" style="28" customWidth="1"/>
    <col min="6187" max="6187" width="13.7265625" style="28" customWidth="1"/>
    <col min="6188" max="6400" width="11.453125" style="28"/>
    <col min="6401" max="6401" width="7.54296875" style="28" customWidth="1"/>
    <col min="6402" max="6402" width="48.1796875" style="28" customWidth="1"/>
    <col min="6403" max="6412" width="12.54296875" style="28" customWidth="1"/>
    <col min="6413" max="6427" width="22.81640625" style="28" customWidth="1"/>
    <col min="6428" max="6432" width="12.453125" style="28" customWidth="1"/>
    <col min="6433" max="6437" width="22.81640625" style="28" customWidth="1"/>
    <col min="6438" max="6442" width="22" style="28" customWidth="1"/>
    <col min="6443" max="6443" width="13.7265625" style="28" customWidth="1"/>
    <col min="6444" max="6656" width="11.453125" style="28"/>
    <col min="6657" max="6657" width="7.54296875" style="28" customWidth="1"/>
    <col min="6658" max="6658" width="48.1796875" style="28" customWidth="1"/>
    <col min="6659" max="6668" width="12.54296875" style="28" customWidth="1"/>
    <col min="6669" max="6683" width="22.81640625" style="28" customWidth="1"/>
    <col min="6684" max="6688" width="12.453125" style="28" customWidth="1"/>
    <col min="6689" max="6693" width="22.81640625" style="28" customWidth="1"/>
    <col min="6694" max="6698" width="22" style="28" customWidth="1"/>
    <col min="6699" max="6699" width="13.7265625" style="28" customWidth="1"/>
    <col min="6700" max="6912" width="11.453125" style="28"/>
    <col min="6913" max="6913" width="7.54296875" style="28" customWidth="1"/>
    <col min="6914" max="6914" width="48.1796875" style="28" customWidth="1"/>
    <col min="6915" max="6924" width="12.54296875" style="28" customWidth="1"/>
    <col min="6925" max="6939" width="22.81640625" style="28" customWidth="1"/>
    <col min="6940" max="6944" width="12.453125" style="28" customWidth="1"/>
    <col min="6945" max="6949" width="22.81640625" style="28" customWidth="1"/>
    <col min="6950" max="6954" width="22" style="28" customWidth="1"/>
    <col min="6955" max="6955" width="13.7265625" style="28" customWidth="1"/>
    <col min="6956" max="7168" width="11.453125" style="28"/>
    <col min="7169" max="7169" width="7.54296875" style="28" customWidth="1"/>
    <col min="7170" max="7170" width="48.1796875" style="28" customWidth="1"/>
    <col min="7171" max="7180" width="12.54296875" style="28" customWidth="1"/>
    <col min="7181" max="7195" width="22.81640625" style="28" customWidth="1"/>
    <col min="7196" max="7200" width="12.453125" style="28" customWidth="1"/>
    <col min="7201" max="7205" width="22.81640625" style="28" customWidth="1"/>
    <col min="7206" max="7210" width="22" style="28" customWidth="1"/>
    <col min="7211" max="7211" width="13.7265625" style="28" customWidth="1"/>
    <col min="7212" max="7424" width="11.453125" style="28"/>
    <col min="7425" max="7425" width="7.54296875" style="28" customWidth="1"/>
    <col min="7426" max="7426" width="48.1796875" style="28" customWidth="1"/>
    <col min="7427" max="7436" width="12.54296875" style="28" customWidth="1"/>
    <col min="7437" max="7451" width="22.81640625" style="28" customWidth="1"/>
    <col min="7452" max="7456" width="12.453125" style="28" customWidth="1"/>
    <col min="7457" max="7461" width="22.81640625" style="28" customWidth="1"/>
    <col min="7462" max="7466" width="22" style="28" customWidth="1"/>
    <col min="7467" max="7467" width="13.7265625" style="28" customWidth="1"/>
    <col min="7468" max="7680" width="11.453125" style="28"/>
    <col min="7681" max="7681" width="7.54296875" style="28" customWidth="1"/>
    <col min="7682" max="7682" width="48.1796875" style="28" customWidth="1"/>
    <col min="7683" max="7692" width="12.54296875" style="28" customWidth="1"/>
    <col min="7693" max="7707" width="22.81640625" style="28" customWidth="1"/>
    <col min="7708" max="7712" width="12.453125" style="28" customWidth="1"/>
    <col min="7713" max="7717" width="22.81640625" style="28" customWidth="1"/>
    <col min="7718" max="7722" width="22" style="28" customWidth="1"/>
    <col min="7723" max="7723" width="13.7265625" style="28" customWidth="1"/>
    <col min="7724" max="7936" width="11.453125" style="28"/>
    <col min="7937" max="7937" width="7.54296875" style="28" customWidth="1"/>
    <col min="7938" max="7938" width="48.1796875" style="28" customWidth="1"/>
    <col min="7939" max="7948" width="12.54296875" style="28" customWidth="1"/>
    <col min="7949" max="7963" width="22.81640625" style="28" customWidth="1"/>
    <col min="7964" max="7968" width="12.453125" style="28" customWidth="1"/>
    <col min="7969" max="7973" width="22.81640625" style="28" customWidth="1"/>
    <col min="7974" max="7978" width="22" style="28" customWidth="1"/>
    <col min="7979" max="7979" width="13.7265625" style="28" customWidth="1"/>
    <col min="7980" max="8192" width="11.453125" style="28"/>
    <col min="8193" max="8193" width="7.54296875" style="28" customWidth="1"/>
    <col min="8194" max="8194" width="48.1796875" style="28" customWidth="1"/>
    <col min="8195" max="8204" width="12.54296875" style="28" customWidth="1"/>
    <col min="8205" max="8219" width="22.81640625" style="28" customWidth="1"/>
    <col min="8220" max="8224" width="12.453125" style="28" customWidth="1"/>
    <col min="8225" max="8229" width="22.81640625" style="28" customWidth="1"/>
    <col min="8230" max="8234" width="22" style="28" customWidth="1"/>
    <col min="8235" max="8235" width="13.7265625" style="28" customWidth="1"/>
    <col min="8236" max="8448" width="11.453125" style="28"/>
    <col min="8449" max="8449" width="7.54296875" style="28" customWidth="1"/>
    <col min="8450" max="8450" width="48.1796875" style="28" customWidth="1"/>
    <col min="8451" max="8460" width="12.54296875" style="28" customWidth="1"/>
    <col min="8461" max="8475" width="22.81640625" style="28" customWidth="1"/>
    <col min="8476" max="8480" width="12.453125" style="28" customWidth="1"/>
    <col min="8481" max="8485" width="22.81640625" style="28" customWidth="1"/>
    <col min="8486" max="8490" width="22" style="28" customWidth="1"/>
    <col min="8491" max="8491" width="13.7265625" style="28" customWidth="1"/>
    <col min="8492" max="8704" width="11.453125" style="28"/>
    <col min="8705" max="8705" width="7.54296875" style="28" customWidth="1"/>
    <col min="8706" max="8706" width="48.1796875" style="28" customWidth="1"/>
    <col min="8707" max="8716" width="12.54296875" style="28" customWidth="1"/>
    <col min="8717" max="8731" width="22.81640625" style="28" customWidth="1"/>
    <col min="8732" max="8736" width="12.453125" style="28" customWidth="1"/>
    <col min="8737" max="8741" width="22.81640625" style="28" customWidth="1"/>
    <col min="8742" max="8746" width="22" style="28" customWidth="1"/>
    <col min="8747" max="8747" width="13.7265625" style="28" customWidth="1"/>
    <col min="8748" max="8960" width="11.453125" style="28"/>
    <col min="8961" max="8961" width="7.54296875" style="28" customWidth="1"/>
    <col min="8962" max="8962" width="48.1796875" style="28" customWidth="1"/>
    <col min="8963" max="8972" width="12.54296875" style="28" customWidth="1"/>
    <col min="8973" max="8987" width="22.81640625" style="28" customWidth="1"/>
    <col min="8988" max="8992" width="12.453125" style="28" customWidth="1"/>
    <col min="8993" max="8997" width="22.81640625" style="28" customWidth="1"/>
    <col min="8998" max="9002" width="22" style="28" customWidth="1"/>
    <col min="9003" max="9003" width="13.7265625" style="28" customWidth="1"/>
    <col min="9004" max="9216" width="11.453125" style="28"/>
    <col min="9217" max="9217" width="7.54296875" style="28" customWidth="1"/>
    <col min="9218" max="9218" width="48.1796875" style="28" customWidth="1"/>
    <col min="9219" max="9228" width="12.54296875" style="28" customWidth="1"/>
    <col min="9229" max="9243" width="22.81640625" style="28" customWidth="1"/>
    <col min="9244" max="9248" width="12.453125" style="28" customWidth="1"/>
    <col min="9249" max="9253" width="22.81640625" style="28" customWidth="1"/>
    <col min="9254" max="9258" width="22" style="28" customWidth="1"/>
    <col min="9259" max="9259" width="13.7265625" style="28" customWidth="1"/>
    <col min="9260" max="9472" width="11.453125" style="28"/>
    <col min="9473" max="9473" width="7.54296875" style="28" customWidth="1"/>
    <col min="9474" max="9474" width="48.1796875" style="28" customWidth="1"/>
    <col min="9475" max="9484" width="12.54296875" style="28" customWidth="1"/>
    <col min="9485" max="9499" width="22.81640625" style="28" customWidth="1"/>
    <col min="9500" max="9504" width="12.453125" style="28" customWidth="1"/>
    <col min="9505" max="9509" width="22.81640625" style="28" customWidth="1"/>
    <col min="9510" max="9514" width="22" style="28" customWidth="1"/>
    <col min="9515" max="9515" width="13.7265625" style="28" customWidth="1"/>
    <col min="9516" max="9728" width="11.453125" style="28"/>
    <col min="9729" max="9729" width="7.54296875" style="28" customWidth="1"/>
    <col min="9730" max="9730" width="48.1796875" style="28" customWidth="1"/>
    <col min="9731" max="9740" width="12.54296875" style="28" customWidth="1"/>
    <col min="9741" max="9755" width="22.81640625" style="28" customWidth="1"/>
    <col min="9756" max="9760" width="12.453125" style="28" customWidth="1"/>
    <col min="9761" max="9765" width="22.81640625" style="28" customWidth="1"/>
    <col min="9766" max="9770" width="22" style="28" customWidth="1"/>
    <col min="9771" max="9771" width="13.7265625" style="28" customWidth="1"/>
    <col min="9772" max="9984" width="11.453125" style="28"/>
    <col min="9985" max="9985" width="7.54296875" style="28" customWidth="1"/>
    <col min="9986" max="9986" width="48.1796875" style="28" customWidth="1"/>
    <col min="9987" max="9996" width="12.54296875" style="28" customWidth="1"/>
    <col min="9997" max="10011" width="22.81640625" style="28" customWidth="1"/>
    <col min="10012" max="10016" width="12.453125" style="28" customWidth="1"/>
    <col min="10017" max="10021" width="22.81640625" style="28" customWidth="1"/>
    <col min="10022" max="10026" width="22" style="28" customWidth="1"/>
    <col min="10027" max="10027" width="13.7265625" style="28" customWidth="1"/>
    <col min="10028" max="10240" width="11.453125" style="28"/>
    <col min="10241" max="10241" width="7.54296875" style="28" customWidth="1"/>
    <col min="10242" max="10242" width="48.1796875" style="28" customWidth="1"/>
    <col min="10243" max="10252" width="12.54296875" style="28" customWidth="1"/>
    <col min="10253" max="10267" width="22.81640625" style="28" customWidth="1"/>
    <col min="10268" max="10272" width="12.453125" style="28" customWidth="1"/>
    <col min="10273" max="10277" width="22.81640625" style="28" customWidth="1"/>
    <col min="10278" max="10282" width="22" style="28" customWidth="1"/>
    <col min="10283" max="10283" width="13.7265625" style="28" customWidth="1"/>
    <col min="10284" max="10496" width="11.453125" style="28"/>
    <col min="10497" max="10497" width="7.54296875" style="28" customWidth="1"/>
    <col min="10498" max="10498" width="48.1796875" style="28" customWidth="1"/>
    <col min="10499" max="10508" width="12.54296875" style="28" customWidth="1"/>
    <col min="10509" max="10523" width="22.81640625" style="28" customWidth="1"/>
    <col min="10524" max="10528" width="12.453125" style="28" customWidth="1"/>
    <col min="10529" max="10533" width="22.81640625" style="28" customWidth="1"/>
    <col min="10534" max="10538" width="22" style="28" customWidth="1"/>
    <col min="10539" max="10539" width="13.7265625" style="28" customWidth="1"/>
    <col min="10540" max="10752" width="11.453125" style="28"/>
    <col min="10753" max="10753" width="7.54296875" style="28" customWidth="1"/>
    <col min="10754" max="10754" width="48.1796875" style="28" customWidth="1"/>
    <col min="10755" max="10764" width="12.54296875" style="28" customWidth="1"/>
    <col min="10765" max="10779" width="22.81640625" style="28" customWidth="1"/>
    <col min="10780" max="10784" width="12.453125" style="28" customWidth="1"/>
    <col min="10785" max="10789" width="22.81640625" style="28" customWidth="1"/>
    <col min="10790" max="10794" width="22" style="28" customWidth="1"/>
    <col min="10795" max="10795" width="13.7265625" style="28" customWidth="1"/>
    <col min="10796" max="11008" width="11.453125" style="28"/>
    <col min="11009" max="11009" width="7.54296875" style="28" customWidth="1"/>
    <col min="11010" max="11010" width="48.1796875" style="28" customWidth="1"/>
    <col min="11011" max="11020" width="12.54296875" style="28" customWidth="1"/>
    <col min="11021" max="11035" width="22.81640625" style="28" customWidth="1"/>
    <col min="11036" max="11040" width="12.453125" style="28" customWidth="1"/>
    <col min="11041" max="11045" width="22.81640625" style="28" customWidth="1"/>
    <col min="11046" max="11050" width="22" style="28" customWidth="1"/>
    <col min="11051" max="11051" width="13.7265625" style="28" customWidth="1"/>
    <col min="11052" max="11264" width="11.453125" style="28"/>
    <col min="11265" max="11265" width="7.54296875" style="28" customWidth="1"/>
    <col min="11266" max="11266" width="48.1796875" style="28" customWidth="1"/>
    <col min="11267" max="11276" width="12.54296875" style="28" customWidth="1"/>
    <col min="11277" max="11291" width="22.81640625" style="28" customWidth="1"/>
    <col min="11292" max="11296" width="12.453125" style="28" customWidth="1"/>
    <col min="11297" max="11301" width="22.81640625" style="28" customWidth="1"/>
    <col min="11302" max="11306" width="22" style="28" customWidth="1"/>
    <col min="11307" max="11307" width="13.7265625" style="28" customWidth="1"/>
    <col min="11308" max="11520" width="11.453125" style="28"/>
    <col min="11521" max="11521" width="7.54296875" style="28" customWidth="1"/>
    <col min="11522" max="11522" width="48.1796875" style="28" customWidth="1"/>
    <col min="11523" max="11532" width="12.54296875" style="28" customWidth="1"/>
    <col min="11533" max="11547" width="22.81640625" style="28" customWidth="1"/>
    <col min="11548" max="11552" width="12.453125" style="28" customWidth="1"/>
    <col min="11553" max="11557" width="22.81640625" style="28" customWidth="1"/>
    <col min="11558" max="11562" width="22" style="28" customWidth="1"/>
    <col min="11563" max="11563" width="13.7265625" style="28" customWidth="1"/>
    <col min="11564" max="11776" width="11.453125" style="28"/>
    <col min="11777" max="11777" width="7.54296875" style="28" customWidth="1"/>
    <col min="11778" max="11778" width="48.1796875" style="28" customWidth="1"/>
    <col min="11779" max="11788" width="12.54296875" style="28" customWidth="1"/>
    <col min="11789" max="11803" width="22.81640625" style="28" customWidth="1"/>
    <col min="11804" max="11808" width="12.453125" style="28" customWidth="1"/>
    <col min="11809" max="11813" width="22.81640625" style="28" customWidth="1"/>
    <col min="11814" max="11818" width="22" style="28" customWidth="1"/>
    <col min="11819" max="11819" width="13.7265625" style="28" customWidth="1"/>
    <col min="11820" max="12032" width="11.453125" style="28"/>
    <col min="12033" max="12033" width="7.54296875" style="28" customWidth="1"/>
    <col min="12034" max="12034" width="48.1796875" style="28" customWidth="1"/>
    <col min="12035" max="12044" width="12.54296875" style="28" customWidth="1"/>
    <col min="12045" max="12059" width="22.81640625" style="28" customWidth="1"/>
    <col min="12060" max="12064" width="12.453125" style="28" customWidth="1"/>
    <col min="12065" max="12069" width="22.81640625" style="28" customWidth="1"/>
    <col min="12070" max="12074" width="22" style="28" customWidth="1"/>
    <col min="12075" max="12075" width="13.7265625" style="28" customWidth="1"/>
    <col min="12076" max="12288" width="11.453125" style="28"/>
    <col min="12289" max="12289" width="7.54296875" style="28" customWidth="1"/>
    <col min="12290" max="12290" width="48.1796875" style="28" customWidth="1"/>
    <col min="12291" max="12300" width="12.54296875" style="28" customWidth="1"/>
    <col min="12301" max="12315" width="22.81640625" style="28" customWidth="1"/>
    <col min="12316" max="12320" width="12.453125" style="28" customWidth="1"/>
    <col min="12321" max="12325" width="22.81640625" style="28" customWidth="1"/>
    <col min="12326" max="12330" width="22" style="28" customWidth="1"/>
    <col min="12331" max="12331" width="13.7265625" style="28" customWidth="1"/>
    <col min="12332" max="12544" width="11.453125" style="28"/>
    <col min="12545" max="12545" width="7.54296875" style="28" customWidth="1"/>
    <col min="12546" max="12546" width="48.1796875" style="28" customWidth="1"/>
    <col min="12547" max="12556" width="12.54296875" style="28" customWidth="1"/>
    <col min="12557" max="12571" width="22.81640625" style="28" customWidth="1"/>
    <col min="12572" max="12576" width="12.453125" style="28" customWidth="1"/>
    <col min="12577" max="12581" width="22.81640625" style="28" customWidth="1"/>
    <col min="12582" max="12586" width="22" style="28" customWidth="1"/>
    <col min="12587" max="12587" width="13.7265625" style="28" customWidth="1"/>
    <col min="12588" max="12800" width="11.453125" style="28"/>
    <col min="12801" max="12801" width="7.54296875" style="28" customWidth="1"/>
    <col min="12802" max="12802" width="48.1796875" style="28" customWidth="1"/>
    <col min="12803" max="12812" width="12.54296875" style="28" customWidth="1"/>
    <col min="12813" max="12827" width="22.81640625" style="28" customWidth="1"/>
    <col min="12828" max="12832" width="12.453125" style="28" customWidth="1"/>
    <col min="12833" max="12837" width="22.81640625" style="28" customWidth="1"/>
    <col min="12838" max="12842" width="22" style="28" customWidth="1"/>
    <col min="12843" max="12843" width="13.7265625" style="28" customWidth="1"/>
    <col min="12844" max="13056" width="11.453125" style="28"/>
    <col min="13057" max="13057" width="7.54296875" style="28" customWidth="1"/>
    <col min="13058" max="13058" width="48.1796875" style="28" customWidth="1"/>
    <col min="13059" max="13068" width="12.54296875" style="28" customWidth="1"/>
    <col min="13069" max="13083" width="22.81640625" style="28" customWidth="1"/>
    <col min="13084" max="13088" width="12.453125" style="28" customWidth="1"/>
    <col min="13089" max="13093" width="22.81640625" style="28" customWidth="1"/>
    <col min="13094" max="13098" width="22" style="28" customWidth="1"/>
    <col min="13099" max="13099" width="13.7265625" style="28" customWidth="1"/>
    <col min="13100" max="13312" width="11.453125" style="28"/>
    <col min="13313" max="13313" width="7.54296875" style="28" customWidth="1"/>
    <col min="13314" max="13314" width="48.1796875" style="28" customWidth="1"/>
    <col min="13315" max="13324" width="12.54296875" style="28" customWidth="1"/>
    <col min="13325" max="13339" width="22.81640625" style="28" customWidth="1"/>
    <col min="13340" max="13344" width="12.453125" style="28" customWidth="1"/>
    <col min="13345" max="13349" width="22.81640625" style="28" customWidth="1"/>
    <col min="13350" max="13354" width="22" style="28" customWidth="1"/>
    <col min="13355" max="13355" width="13.7265625" style="28" customWidth="1"/>
    <col min="13356" max="13568" width="11.453125" style="28"/>
    <col min="13569" max="13569" width="7.54296875" style="28" customWidth="1"/>
    <col min="13570" max="13570" width="48.1796875" style="28" customWidth="1"/>
    <col min="13571" max="13580" width="12.54296875" style="28" customWidth="1"/>
    <col min="13581" max="13595" width="22.81640625" style="28" customWidth="1"/>
    <col min="13596" max="13600" width="12.453125" style="28" customWidth="1"/>
    <col min="13601" max="13605" width="22.81640625" style="28" customWidth="1"/>
    <col min="13606" max="13610" width="22" style="28" customWidth="1"/>
    <col min="13611" max="13611" width="13.7265625" style="28" customWidth="1"/>
    <col min="13612" max="13824" width="11.453125" style="28"/>
    <col min="13825" max="13825" width="7.54296875" style="28" customWidth="1"/>
    <col min="13826" max="13826" width="48.1796875" style="28" customWidth="1"/>
    <col min="13827" max="13836" width="12.54296875" style="28" customWidth="1"/>
    <col min="13837" max="13851" width="22.81640625" style="28" customWidth="1"/>
    <col min="13852" max="13856" width="12.453125" style="28" customWidth="1"/>
    <col min="13857" max="13861" width="22.81640625" style="28" customWidth="1"/>
    <col min="13862" max="13866" width="22" style="28" customWidth="1"/>
    <col min="13867" max="13867" width="13.7265625" style="28" customWidth="1"/>
    <col min="13868" max="14080" width="11.453125" style="28"/>
    <col min="14081" max="14081" width="7.54296875" style="28" customWidth="1"/>
    <col min="14082" max="14082" width="48.1796875" style="28" customWidth="1"/>
    <col min="14083" max="14092" width="12.54296875" style="28" customWidth="1"/>
    <col min="14093" max="14107" width="22.81640625" style="28" customWidth="1"/>
    <col min="14108" max="14112" width="12.453125" style="28" customWidth="1"/>
    <col min="14113" max="14117" width="22.81640625" style="28" customWidth="1"/>
    <col min="14118" max="14122" width="22" style="28" customWidth="1"/>
    <col min="14123" max="14123" width="13.7265625" style="28" customWidth="1"/>
    <col min="14124" max="14336" width="11.453125" style="28"/>
    <col min="14337" max="14337" width="7.54296875" style="28" customWidth="1"/>
    <col min="14338" max="14338" width="48.1796875" style="28" customWidth="1"/>
    <col min="14339" max="14348" width="12.54296875" style="28" customWidth="1"/>
    <col min="14349" max="14363" width="22.81640625" style="28" customWidth="1"/>
    <col min="14364" max="14368" width="12.453125" style="28" customWidth="1"/>
    <col min="14369" max="14373" width="22.81640625" style="28" customWidth="1"/>
    <col min="14374" max="14378" width="22" style="28" customWidth="1"/>
    <col min="14379" max="14379" width="13.7265625" style="28" customWidth="1"/>
    <col min="14380" max="14592" width="11.453125" style="28"/>
    <col min="14593" max="14593" width="7.54296875" style="28" customWidth="1"/>
    <col min="14594" max="14594" width="48.1796875" style="28" customWidth="1"/>
    <col min="14595" max="14604" width="12.54296875" style="28" customWidth="1"/>
    <col min="14605" max="14619" width="22.81640625" style="28" customWidth="1"/>
    <col min="14620" max="14624" width="12.453125" style="28" customWidth="1"/>
    <col min="14625" max="14629" width="22.81640625" style="28" customWidth="1"/>
    <col min="14630" max="14634" width="22" style="28" customWidth="1"/>
    <col min="14635" max="14635" width="13.7265625" style="28" customWidth="1"/>
    <col min="14636" max="14848" width="11.453125" style="28"/>
    <col min="14849" max="14849" width="7.54296875" style="28" customWidth="1"/>
    <col min="14850" max="14850" width="48.1796875" style="28" customWidth="1"/>
    <col min="14851" max="14860" width="12.54296875" style="28" customWidth="1"/>
    <col min="14861" max="14875" width="22.81640625" style="28" customWidth="1"/>
    <col min="14876" max="14880" width="12.453125" style="28" customWidth="1"/>
    <col min="14881" max="14885" width="22.81640625" style="28" customWidth="1"/>
    <col min="14886" max="14890" width="22" style="28" customWidth="1"/>
    <col min="14891" max="14891" width="13.7265625" style="28" customWidth="1"/>
    <col min="14892" max="15104" width="11.453125" style="28"/>
    <col min="15105" max="15105" width="7.54296875" style="28" customWidth="1"/>
    <col min="15106" max="15106" width="48.1796875" style="28" customWidth="1"/>
    <col min="15107" max="15116" width="12.54296875" style="28" customWidth="1"/>
    <col min="15117" max="15131" width="22.81640625" style="28" customWidth="1"/>
    <col min="15132" max="15136" width="12.453125" style="28" customWidth="1"/>
    <col min="15137" max="15141" width="22.81640625" style="28" customWidth="1"/>
    <col min="15142" max="15146" width="22" style="28" customWidth="1"/>
    <col min="15147" max="15147" width="13.7265625" style="28" customWidth="1"/>
    <col min="15148" max="15360" width="11.453125" style="28"/>
    <col min="15361" max="15361" width="7.54296875" style="28" customWidth="1"/>
    <col min="15362" max="15362" width="48.1796875" style="28" customWidth="1"/>
    <col min="15363" max="15372" width="12.54296875" style="28" customWidth="1"/>
    <col min="15373" max="15387" width="22.81640625" style="28" customWidth="1"/>
    <col min="15388" max="15392" width="12.453125" style="28" customWidth="1"/>
    <col min="15393" max="15397" width="22.81640625" style="28" customWidth="1"/>
    <col min="15398" max="15402" width="22" style="28" customWidth="1"/>
    <col min="15403" max="15403" width="13.7265625" style="28" customWidth="1"/>
    <col min="15404" max="15616" width="11.453125" style="28"/>
    <col min="15617" max="15617" width="7.54296875" style="28" customWidth="1"/>
    <col min="15618" max="15618" width="48.1796875" style="28" customWidth="1"/>
    <col min="15619" max="15628" width="12.54296875" style="28" customWidth="1"/>
    <col min="15629" max="15643" width="22.81640625" style="28" customWidth="1"/>
    <col min="15644" max="15648" width="12.453125" style="28" customWidth="1"/>
    <col min="15649" max="15653" width="22.81640625" style="28" customWidth="1"/>
    <col min="15654" max="15658" width="22" style="28" customWidth="1"/>
    <col min="15659" max="15659" width="13.7265625" style="28" customWidth="1"/>
    <col min="15660" max="15872" width="11.453125" style="28"/>
    <col min="15873" max="15873" width="7.54296875" style="28" customWidth="1"/>
    <col min="15874" max="15874" width="48.1796875" style="28" customWidth="1"/>
    <col min="15875" max="15884" width="12.54296875" style="28" customWidth="1"/>
    <col min="15885" max="15899" width="22.81640625" style="28" customWidth="1"/>
    <col min="15900" max="15904" width="12.453125" style="28" customWidth="1"/>
    <col min="15905" max="15909" width="22.81640625" style="28" customWidth="1"/>
    <col min="15910" max="15914" width="22" style="28" customWidth="1"/>
    <col min="15915" max="15915" width="13.7265625" style="28" customWidth="1"/>
    <col min="15916" max="16128" width="11.453125" style="28"/>
    <col min="16129" max="16129" width="7.54296875" style="28" customWidth="1"/>
    <col min="16130" max="16130" width="48.1796875" style="28" customWidth="1"/>
    <col min="16131" max="16140" width="12.54296875" style="28" customWidth="1"/>
    <col min="16141" max="16155" width="22.81640625" style="28" customWidth="1"/>
    <col min="16156" max="16160" width="12.453125" style="28" customWidth="1"/>
    <col min="16161" max="16165" width="22.81640625" style="28" customWidth="1"/>
    <col min="16166" max="16170" width="22" style="28" customWidth="1"/>
    <col min="16171" max="16171" width="13.7265625" style="28" customWidth="1"/>
    <col min="16172" max="16384" width="11.453125" style="28"/>
  </cols>
  <sheetData>
    <row r="1" spans="1:43" s="8" customFormat="1" ht="9.65" customHeight="1" x14ac:dyDescent="0.3">
      <c r="A1" s="93" t="s">
        <v>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</row>
    <row r="2" spans="1:43" s="10" customFormat="1" ht="35.25" customHeight="1" x14ac:dyDescent="0.35">
      <c r="A2" s="9"/>
      <c r="B2" s="94" t="s">
        <v>58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/>
    </row>
    <row r="3" spans="1:43" s="11" customFormat="1" ht="12.65" customHeight="1" x14ac:dyDescent="0.45">
      <c r="A3" s="97" t="s">
        <v>0</v>
      </c>
      <c r="B3" s="100" t="s">
        <v>59</v>
      </c>
      <c r="C3" s="102" t="s">
        <v>60</v>
      </c>
      <c r="D3" s="103"/>
      <c r="E3" s="103"/>
      <c r="F3" s="103"/>
      <c r="G3" s="103"/>
      <c r="H3" s="103"/>
      <c r="I3" s="103"/>
      <c r="J3" s="103"/>
      <c r="K3" s="103"/>
      <c r="L3" s="104"/>
      <c r="M3" s="105" t="s">
        <v>61</v>
      </c>
      <c r="N3" s="106"/>
      <c r="O3" s="106"/>
      <c r="P3" s="106"/>
      <c r="Q3" s="106"/>
      <c r="R3" s="106"/>
      <c r="S3" s="106"/>
      <c r="T3" s="106"/>
      <c r="U3" s="106"/>
      <c r="V3" s="107"/>
      <c r="W3" s="108" t="s">
        <v>62</v>
      </c>
      <c r="X3" s="109"/>
      <c r="Y3" s="109"/>
      <c r="Z3" s="109"/>
      <c r="AA3" s="109"/>
      <c r="AB3" s="109"/>
      <c r="AC3" s="109"/>
      <c r="AD3" s="109"/>
      <c r="AE3" s="109"/>
      <c r="AF3" s="110"/>
      <c r="AG3" s="111" t="s">
        <v>63</v>
      </c>
      <c r="AH3" s="112"/>
      <c r="AI3" s="112"/>
      <c r="AJ3" s="112"/>
      <c r="AK3" s="112"/>
      <c r="AL3" s="112"/>
      <c r="AM3" s="112"/>
      <c r="AN3" s="112"/>
      <c r="AO3" s="112"/>
      <c r="AP3" s="113"/>
      <c r="AQ3" s="114" t="s">
        <v>64</v>
      </c>
    </row>
    <row r="4" spans="1:43" s="12" customFormat="1" ht="101.5" customHeight="1" x14ac:dyDescent="0.35">
      <c r="A4" s="98"/>
      <c r="B4" s="101"/>
      <c r="C4" s="116" t="s">
        <v>6</v>
      </c>
      <c r="D4" s="117"/>
      <c r="E4" s="117"/>
      <c r="F4" s="117"/>
      <c r="G4" s="118"/>
      <c r="H4" s="116" t="s">
        <v>13</v>
      </c>
      <c r="I4" s="117"/>
      <c r="J4" s="117"/>
      <c r="K4" s="117"/>
      <c r="L4" s="118"/>
      <c r="M4" s="119" t="s">
        <v>54</v>
      </c>
      <c r="N4" s="120"/>
      <c r="O4" s="120"/>
      <c r="P4" s="120"/>
      <c r="Q4" s="121"/>
      <c r="R4" s="119" t="s">
        <v>55</v>
      </c>
      <c r="S4" s="120"/>
      <c r="T4" s="120"/>
      <c r="U4" s="120"/>
      <c r="V4" s="121"/>
      <c r="W4" s="122" t="s">
        <v>34</v>
      </c>
      <c r="X4" s="123"/>
      <c r="Y4" s="123"/>
      <c r="Z4" s="123"/>
      <c r="AA4" s="124"/>
      <c r="AB4" s="122" t="s">
        <v>35</v>
      </c>
      <c r="AC4" s="123"/>
      <c r="AD4" s="123"/>
      <c r="AE4" s="123"/>
      <c r="AF4" s="124"/>
      <c r="AG4" s="90" t="s">
        <v>21</v>
      </c>
      <c r="AH4" s="91"/>
      <c r="AI4" s="91"/>
      <c r="AJ4" s="91"/>
      <c r="AK4" s="92"/>
      <c r="AL4" s="90" t="s">
        <v>27</v>
      </c>
      <c r="AM4" s="91"/>
      <c r="AN4" s="91"/>
      <c r="AO4" s="91"/>
      <c r="AP4" s="92"/>
      <c r="AQ4" s="115"/>
    </row>
    <row r="5" spans="1:43" s="15" customFormat="1" ht="137.5" customHeight="1" x14ac:dyDescent="0.45">
      <c r="A5" s="98"/>
      <c r="B5" s="13" t="s">
        <v>65</v>
      </c>
      <c r="C5" s="34" t="s">
        <v>90</v>
      </c>
      <c r="D5" s="35" t="s">
        <v>91</v>
      </c>
      <c r="E5" s="34" t="s">
        <v>66</v>
      </c>
      <c r="F5" s="34" t="s">
        <v>92</v>
      </c>
      <c r="G5" s="35" t="s">
        <v>93</v>
      </c>
      <c r="H5" s="36" t="s">
        <v>67</v>
      </c>
      <c r="I5" s="36" t="s">
        <v>68</v>
      </c>
      <c r="J5" s="36" t="s">
        <v>94</v>
      </c>
      <c r="K5" s="36" t="s">
        <v>95</v>
      </c>
      <c r="L5" s="36" t="s">
        <v>96</v>
      </c>
      <c r="M5" s="39" t="s">
        <v>69</v>
      </c>
      <c r="N5" s="39" t="s">
        <v>70</v>
      </c>
      <c r="O5" s="39" t="s">
        <v>71</v>
      </c>
      <c r="P5" s="39" t="s">
        <v>72</v>
      </c>
      <c r="Q5" s="39" t="s">
        <v>73</v>
      </c>
      <c r="R5" s="39" t="s">
        <v>74</v>
      </c>
      <c r="S5" s="39" t="s">
        <v>75</v>
      </c>
      <c r="T5" s="39" t="s">
        <v>76</v>
      </c>
      <c r="U5" s="39" t="s">
        <v>77</v>
      </c>
      <c r="V5" s="39" t="s">
        <v>78</v>
      </c>
      <c r="W5" s="41" t="s">
        <v>110</v>
      </c>
      <c r="X5" s="41" t="s">
        <v>109</v>
      </c>
      <c r="Y5" s="41" t="s">
        <v>111</v>
      </c>
      <c r="Z5" s="41" t="s">
        <v>112</v>
      </c>
      <c r="AA5" s="42" t="s">
        <v>118</v>
      </c>
      <c r="AB5" s="41" t="s">
        <v>113</v>
      </c>
      <c r="AC5" s="41" t="s">
        <v>114</v>
      </c>
      <c r="AD5" s="41" t="s">
        <v>115</v>
      </c>
      <c r="AE5" s="41" t="s">
        <v>116</v>
      </c>
      <c r="AF5" s="42" t="s">
        <v>117</v>
      </c>
      <c r="AG5" s="44" t="s">
        <v>79</v>
      </c>
      <c r="AH5" s="44" t="s">
        <v>80</v>
      </c>
      <c r="AI5" s="44" t="s">
        <v>81</v>
      </c>
      <c r="AJ5" s="44" t="s">
        <v>82</v>
      </c>
      <c r="AK5" s="45" t="s">
        <v>83</v>
      </c>
      <c r="AL5" s="44" t="s">
        <v>84</v>
      </c>
      <c r="AM5" s="44" t="s">
        <v>85</v>
      </c>
      <c r="AN5" s="44" t="s">
        <v>86</v>
      </c>
      <c r="AO5" s="44" t="s">
        <v>87</v>
      </c>
      <c r="AP5" s="45" t="s">
        <v>88</v>
      </c>
      <c r="AQ5" s="14"/>
    </row>
    <row r="6" spans="1:43" s="19" customFormat="1" ht="36.65" customHeight="1" x14ac:dyDescent="0.35">
      <c r="A6" s="99"/>
      <c r="B6" s="16" t="s">
        <v>51</v>
      </c>
      <c r="C6" s="37">
        <v>10</v>
      </c>
      <c r="D6" s="37">
        <v>30</v>
      </c>
      <c r="E6" s="37">
        <v>60</v>
      </c>
      <c r="F6" s="37">
        <v>90</v>
      </c>
      <c r="G6" s="37">
        <v>120</v>
      </c>
      <c r="H6" s="38">
        <v>0</v>
      </c>
      <c r="I6" s="38">
        <v>20</v>
      </c>
      <c r="J6" s="38">
        <v>60</v>
      </c>
      <c r="K6" s="38">
        <v>130</v>
      </c>
      <c r="L6" s="38">
        <v>180</v>
      </c>
      <c r="M6" s="40">
        <v>10</v>
      </c>
      <c r="N6" s="40">
        <v>10</v>
      </c>
      <c r="O6" s="40">
        <v>20</v>
      </c>
      <c r="P6" s="40">
        <v>30</v>
      </c>
      <c r="Q6" s="40">
        <v>40</v>
      </c>
      <c r="R6" s="40">
        <v>10</v>
      </c>
      <c r="S6" s="40">
        <v>20</v>
      </c>
      <c r="T6" s="40">
        <v>40</v>
      </c>
      <c r="U6" s="40">
        <v>60</v>
      </c>
      <c r="V6" s="40">
        <v>80</v>
      </c>
      <c r="W6" s="43">
        <v>20</v>
      </c>
      <c r="X6" s="43">
        <v>40</v>
      </c>
      <c r="Y6" s="43">
        <v>120</v>
      </c>
      <c r="Z6" s="43">
        <v>160</v>
      </c>
      <c r="AA6" s="43">
        <v>240</v>
      </c>
      <c r="AB6" s="43">
        <v>0</v>
      </c>
      <c r="AC6" s="43">
        <v>40</v>
      </c>
      <c r="AD6" s="43">
        <v>120</v>
      </c>
      <c r="AE6" s="43">
        <v>160</v>
      </c>
      <c r="AF6" s="43">
        <v>240</v>
      </c>
      <c r="AG6" s="17">
        <v>0</v>
      </c>
      <c r="AH6" s="17">
        <v>10</v>
      </c>
      <c r="AI6" s="17">
        <v>20</v>
      </c>
      <c r="AJ6" s="17">
        <v>30</v>
      </c>
      <c r="AK6" s="17">
        <v>40</v>
      </c>
      <c r="AL6" s="17">
        <v>0</v>
      </c>
      <c r="AM6" s="17">
        <v>10</v>
      </c>
      <c r="AN6" s="17">
        <v>20</v>
      </c>
      <c r="AO6" s="17">
        <v>40</v>
      </c>
      <c r="AP6" s="17">
        <v>60</v>
      </c>
      <c r="AQ6" s="18"/>
    </row>
    <row r="7" spans="1:43" s="24" customFormat="1" ht="41.5" customHeight="1" x14ac:dyDescent="0.35">
      <c r="A7" s="20">
        <v>1</v>
      </c>
      <c r="B7" s="21" t="s">
        <v>1</v>
      </c>
      <c r="C7" s="22">
        <v>0</v>
      </c>
      <c r="D7" s="22">
        <v>0</v>
      </c>
      <c r="E7" s="22">
        <v>0</v>
      </c>
      <c r="F7" s="22">
        <v>0</v>
      </c>
      <c r="G7" s="22">
        <v>120</v>
      </c>
      <c r="H7" s="22">
        <v>0</v>
      </c>
      <c r="I7" s="22">
        <v>0</v>
      </c>
      <c r="J7" s="22">
        <v>60</v>
      </c>
      <c r="K7" s="22">
        <v>0</v>
      </c>
      <c r="L7" s="22">
        <v>0</v>
      </c>
      <c r="M7" s="22">
        <v>0</v>
      </c>
      <c r="N7" s="22">
        <v>10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60</v>
      </c>
      <c r="V7" s="22">
        <v>0</v>
      </c>
      <c r="W7" s="22">
        <v>0</v>
      </c>
      <c r="X7" s="22">
        <v>0</v>
      </c>
      <c r="Y7" s="22">
        <v>0</v>
      </c>
      <c r="Z7" s="22">
        <v>160</v>
      </c>
      <c r="AA7" s="22">
        <v>0</v>
      </c>
      <c r="AB7" s="22">
        <v>0</v>
      </c>
      <c r="AC7" s="22">
        <v>0</v>
      </c>
      <c r="AD7" s="22">
        <v>0</v>
      </c>
      <c r="AE7" s="22">
        <v>160</v>
      </c>
      <c r="AF7" s="22">
        <v>0</v>
      </c>
      <c r="AG7" s="22">
        <v>0</v>
      </c>
      <c r="AH7" s="22">
        <v>0</v>
      </c>
      <c r="AI7" s="22">
        <v>0</v>
      </c>
      <c r="AJ7" s="22">
        <v>30</v>
      </c>
      <c r="AK7" s="22">
        <v>0</v>
      </c>
      <c r="AL7" s="22">
        <v>0</v>
      </c>
      <c r="AM7" s="22">
        <v>10</v>
      </c>
      <c r="AN7" s="22">
        <v>0</v>
      </c>
      <c r="AO7" s="22">
        <v>0</v>
      </c>
      <c r="AP7" s="22">
        <v>0</v>
      </c>
      <c r="AQ7" s="23">
        <f t="shared" ref="AQ7:AQ9" si="0">SUM(C7:AP7)</f>
        <v>610</v>
      </c>
    </row>
    <row r="8" spans="1:43" s="24" customFormat="1" ht="41.5" customHeight="1" x14ac:dyDescent="0.35">
      <c r="A8" s="20">
        <v>2</v>
      </c>
      <c r="B8" s="21" t="s">
        <v>2</v>
      </c>
      <c r="C8" s="22">
        <v>0</v>
      </c>
      <c r="D8" s="22">
        <v>0</v>
      </c>
      <c r="E8" s="22">
        <v>0</v>
      </c>
      <c r="F8" s="22">
        <v>90</v>
      </c>
      <c r="G8" s="22">
        <v>0</v>
      </c>
      <c r="H8" s="22">
        <v>0</v>
      </c>
      <c r="I8" s="22">
        <v>20</v>
      </c>
      <c r="J8" s="22"/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30</v>
      </c>
      <c r="Q8" s="22">
        <v>0</v>
      </c>
      <c r="R8" s="22">
        <v>0</v>
      </c>
      <c r="S8" s="22">
        <v>0</v>
      </c>
      <c r="T8" s="22">
        <v>40</v>
      </c>
      <c r="U8" s="22">
        <v>0</v>
      </c>
      <c r="V8" s="22">
        <v>0</v>
      </c>
      <c r="W8" s="22">
        <v>0</v>
      </c>
      <c r="X8" s="22">
        <v>0</v>
      </c>
      <c r="Y8" s="22">
        <v>120</v>
      </c>
      <c r="Z8" s="22">
        <v>0</v>
      </c>
      <c r="AA8" s="22">
        <v>0</v>
      </c>
      <c r="AB8" s="22">
        <v>0</v>
      </c>
      <c r="AC8" s="22">
        <v>0</v>
      </c>
      <c r="AD8" s="22">
        <v>120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30</v>
      </c>
      <c r="AK8" s="22">
        <v>0</v>
      </c>
      <c r="AL8" s="22">
        <v>0</v>
      </c>
      <c r="AM8" s="22">
        <v>10</v>
      </c>
      <c r="AN8" s="22">
        <v>0</v>
      </c>
      <c r="AO8" s="22">
        <v>0</v>
      </c>
      <c r="AP8" s="22">
        <v>0</v>
      </c>
      <c r="AQ8" s="23">
        <f t="shared" si="0"/>
        <v>460</v>
      </c>
    </row>
    <row r="9" spans="1:43" s="25" customFormat="1" ht="41.5" customHeight="1" x14ac:dyDescent="0.35">
      <c r="A9" s="20">
        <v>3</v>
      </c>
      <c r="B9" s="21" t="s">
        <v>3</v>
      </c>
      <c r="C9" s="22">
        <v>10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40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20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40</v>
      </c>
      <c r="AL9" s="22">
        <v>0</v>
      </c>
      <c r="AM9" s="22">
        <v>0</v>
      </c>
      <c r="AN9" s="22">
        <v>0</v>
      </c>
      <c r="AO9" s="22">
        <v>0</v>
      </c>
      <c r="AP9" s="22">
        <v>60</v>
      </c>
      <c r="AQ9" s="23">
        <f t="shared" si="0"/>
        <v>170</v>
      </c>
    </row>
    <row r="10" spans="1:43" s="27" customFormat="1" ht="41.5" customHeight="1" x14ac:dyDescent="0.35"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43" ht="15" customHeight="1" x14ac:dyDescent="0.35">
      <c r="B11" s="46"/>
    </row>
  </sheetData>
  <mergeCells count="17">
    <mergeCell ref="AB4:AF4"/>
    <mergeCell ref="AG4:AK4"/>
    <mergeCell ref="A1:AQ1"/>
    <mergeCell ref="B2:AQ2"/>
    <mergeCell ref="A3:A6"/>
    <mergeCell ref="B3:B4"/>
    <mergeCell ref="C3:L3"/>
    <mergeCell ref="M3:V3"/>
    <mergeCell ref="W3:AF3"/>
    <mergeCell ref="AG3:AP3"/>
    <mergeCell ref="AQ3:AQ4"/>
    <mergeCell ref="C4:G4"/>
    <mergeCell ref="AL4:AP4"/>
    <mergeCell ref="H4:L4"/>
    <mergeCell ref="M4:Q4"/>
    <mergeCell ref="R4:V4"/>
    <mergeCell ref="W4:AA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3.Form Jobdesk</vt:lpstr>
      <vt:lpstr>4.Contoh Point Factor Table</vt:lpstr>
      <vt:lpstr>5.Tabel Point Factor</vt:lpstr>
      <vt:lpstr>6. Form Tabel Poin Faktor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Trisna Permana</dc:creator>
  <cp:lastModifiedBy>donny aribowo</cp:lastModifiedBy>
  <dcterms:created xsi:type="dcterms:W3CDTF">2024-07-10T15:56:15Z</dcterms:created>
  <dcterms:modified xsi:type="dcterms:W3CDTF">2025-12-17T01:40:26Z</dcterms:modified>
</cp:coreProperties>
</file>