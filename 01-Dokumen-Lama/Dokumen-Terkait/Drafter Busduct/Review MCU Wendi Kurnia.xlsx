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filterPrivacy="1" defaultThemeVersion="124226"/>
  <xr:revisionPtr revIDLastSave="0" documentId="8_{8BB5AA00-341F-48D9-865A-7CB160D9356C}" xr6:coauthVersionLast="36" xr6:coauthVersionMax="36" xr10:uidLastSave="{00000000-0000-0000-0000-000000000000}"/>
  <bookViews>
    <workbookView xWindow="0" yWindow="0" windowWidth="19200" windowHeight="6810" xr2:uid="{00000000-000D-0000-FFFF-FFFF00000000}"/>
  </bookViews>
  <sheets>
    <sheet name="Pekerja" sheetId="1" r:id="rId1"/>
    <sheet name="Keluarga Pekerja" sheetId="2" r:id="rId2"/>
  </sheets>
  <definedNames>
    <definedName name="_xlnm._FilterDatabase" localSheetId="0" hidden="1">Pekerja!$I$7:$I$44</definedName>
  </definedNames>
  <calcPr calcId="191029"/>
</workbook>
</file>

<file path=xl/calcChain.xml><?xml version="1.0" encoding="utf-8"?>
<calcChain xmlns="http://schemas.openxmlformats.org/spreadsheetml/2006/main">
  <c r="A10" i="1" l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13" i="2" l="1"/>
  <c r="A12" i="2" l="1"/>
  <c r="A11" i="2" l="1"/>
  <c r="A17" i="2" l="1"/>
  <c r="A10" i="2"/>
</calcChain>
</file>

<file path=xl/sharedStrings.xml><?xml version="1.0" encoding="utf-8"?>
<sst xmlns="http://schemas.openxmlformats.org/spreadsheetml/2006/main" count="360" uniqueCount="237">
  <si>
    <t>NO</t>
  </si>
  <si>
    <t>PEKERJA</t>
  </si>
  <si>
    <t>MCU</t>
  </si>
  <si>
    <t>NAMA</t>
  </si>
  <si>
    <t>JABATAN</t>
  </si>
  <si>
    <t>UMUR</t>
  </si>
  <si>
    <t>TGL MCU</t>
  </si>
  <si>
    <t>SARAN / REKOMENDASI</t>
  </si>
  <si>
    <t>SKOR KARDIOVASKULER JAKARTA</t>
  </si>
  <si>
    <t>KATEGORI P1 - P7</t>
  </si>
  <si>
    <t xml:space="preserve">USER / FUNGSI                         </t>
  </si>
  <si>
    <t xml:space="preserve">NAMA VENDOR                         </t>
  </si>
  <si>
    <t xml:space="preserve">NAMA PEKERJAAN                   </t>
  </si>
  <si>
    <t xml:space="preserve">: </t>
  </si>
  <si>
    <t>REVIEW OLEH</t>
  </si>
  <si>
    <t>Ericsatrio Adi Prabowo, dr</t>
  </si>
  <si>
    <t>umur</t>
  </si>
  <si>
    <t>jenis kelamin</t>
  </si>
  <si>
    <t>tekanan darah</t>
  </si>
  <si>
    <t>IMT</t>
  </si>
  <si>
    <t>merokok</t>
  </si>
  <si>
    <t>diabetes</t>
  </si>
  <si>
    <t>: Zona 11</t>
  </si>
  <si>
    <t>Akt</t>
  </si>
  <si>
    <t>Total</t>
  </si>
  <si>
    <t>: PT Ramai Jaya Abadi</t>
  </si>
  <si>
    <t>trea</t>
  </si>
  <si>
    <t xml:space="preserve">Teknik Lapangan </t>
  </si>
  <si>
    <t xml:space="preserve">4 ( Risiko Sedang ) </t>
  </si>
  <si>
    <t xml:space="preserve">P3 </t>
  </si>
  <si>
    <t>P4</t>
  </si>
  <si>
    <t xml:space="preserve">Turunkan Berat badan 24,5 kg     Diet rendah lemak dan tinggi serat Diet rendah purin                    Cukup minum air putih 2liter/hari   Olahraga 150mnt/minggu   </t>
  </si>
  <si>
    <t xml:space="preserve">Emmanuel Pudjo  </t>
  </si>
  <si>
    <t xml:space="preserve">Officer Security WMD &amp; Poleng </t>
  </si>
  <si>
    <t xml:space="preserve">
IMT : 26,2( Obesitas I ) 
HB :15.6 , Haematokrit : 48.9, LED : 1, Chol : 219 TG :223,      Asam urat 9,06  creat : 1,24 GFR 1,24 HbA1c 5,12
USG abdomen : Tidak ada kelainan                                                                                                                     </t>
  </si>
  <si>
    <t xml:space="preserve">9 ( Risiko Tinggi ) </t>
  </si>
  <si>
    <t xml:space="preserve">
IMT : 28,7 ( Obesitas I ) 
 OD miopia ( 0.3ccS - 1,25 1.0) OS alligment Compositus ( 0.2 cc S - 1,25 C - 1.0) ODS : Presbiopia ( J2/J2 cc S + 2.75 J1/J1 ) Hipertensi +, Plantar fascitis ,  LED : 1, Chol : 195 TG :180,Asam urat 8.43,LDL kolestrol 141 Hba1c : 5,87  Hipertrofi prostat volume 38,97 
USG abdomen :    Mild fatty liver                                                         </t>
  </si>
  <si>
    <t xml:space="preserve">Olahraga jalan kaki 150 menit/ Minggu                              Memakai kacamata konsul Sp.M   Konsul dr Sp. Orthopedi             Konsul Sp Penyakit dalam                    Lanjutkan pengobatan hipertensi                                  Diet rendah lemak dan tinggi serat  Diet rendah purin                   </t>
  </si>
  <si>
    <t>Yudho Dwiandanu Berkah</t>
  </si>
  <si>
    <t>27 Tahun</t>
  </si>
  <si>
    <t xml:space="preserve">Impaksi (+) Pupitis (+)                                                                                                   IMT 23,25 ( normoweight )                                                                          </t>
  </si>
  <si>
    <t xml:space="preserve">Risiko rendah (2)                 </t>
  </si>
  <si>
    <t>P2</t>
  </si>
  <si>
    <t xml:space="preserve">Kotrol dokter gigi untuk PSA                Makan sayur dan buah setiap hari         Olahraga 150 mnt/minggu                            </t>
  </si>
  <si>
    <t>Munardi</t>
  </si>
  <si>
    <t>54 Tahun</t>
  </si>
  <si>
    <t xml:space="preserve">
audiometri : Tuli konduktif derajat ringan 
Karang gigi (+) karies (+) sisa akar gigi (+) OD Pterygium (+) presbiopia (+) </t>
  </si>
  <si>
    <t xml:space="preserve">Risiko Sedang(4)
</t>
  </si>
  <si>
    <t>P3</t>
  </si>
  <si>
    <t xml:space="preserve">Olaharaga 150 mnt/ minggu                konsul Sp M pro ekstirpasi pterygium                                                       Pro scalling  Sp Gigi                                    Hindari pemakaian headset berlebihn dan pajanan bising                                                              </t>
  </si>
  <si>
    <t xml:space="preserve">Yeti Purwanto </t>
  </si>
  <si>
    <t>53 Tahun</t>
  </si>
  <si>
    <t xml:space="preserve">
Karies (+)                                                                                            LDL : 116
Presbiopias (+) </t>
  </si>
  <si>
    <r>
      <rPr>
        <sz val="12"/>
        <rFont val="Times New Roman"/>
        <family val="1"/>
      </rPr>
      <t>Risiko sedang (3)</t>
    </r>
    <r>
      <rPr>
        <sz val="12"/>
        <color rgb="FFFF0000"/>
        <rFont val="Times New Roman"/>
        <family val="1"/>
      </rPr>
      <t xml:space="preserve">
</t>
    </r>
  </si>
  <si>
    <t xml:space="preserve">kontrol dokter gigi untuk pro scaling                                                               Minum air putih 2L/hari                                           Olahraga 150mnt/minggu                                                        Makan dan sayur setiap hari </t>
  </si>
  <si>
    <t>KETEGORI SEBELUM 
KONSUL</t>
  </si>
  <si>
    <t xml:space="preserve">Ny. Sri Endah </t>
  </si>
  <si>
    <t xml:space="preserve">51 tahun </t>
  </si>
  <si>
    <t xml:space="preserve">BMI 37,33 ( obesitas I )                                                                              Visus OD 6/60 OS 6/60 Gigi berlubang 3                                          LED 60mml/jam globulin 3,7g/dl cholestrol 241 LDL 137                EKG : quadribigemini 
</t>
  </si>
  <si>
    <r>
      <rPr>
        <sz val="12"/>
        <rFont val="Times New Roman"/>
        <family val="1"/>
      </rPr>
      <t xml:space="preserve">Resiko Sedang (3) </t>
    </r>
    <r>
      <rPr>
        <sz val="12"/>
        <color rgb="FFFF0000"/>
        <rFont val="Times New Roman"/>
        <family val="1"/>
      </rPr>
      <t xml:space="preserve">
</t>
    </r>
  </si>
  <si>
    <t xml:space="preserve">Konsul Sp JP quadribigemini                            Konsul Sp M koreksi presbiopia              Konsul Sp PD Dislipidemia                          Olahraga 150mnt/minggu                                        Minum air putih 2l/hari                                         Kontrol Sp KG untuk ginggivitis                   </t>
  </si>
  <si>
    <t>TINDAK LANJUT</t>
  </si>
  <si>
    <t xml:space="preserve">Bambang Riyanto </t>
  </si>
  <si>
    <t>54Tahun</t>
  </si>
  <si>
    <t xml:space="preserve">Merokok (+),Presbiopia (+)                                                                                           Hb 17,3g/dl  , TG 291  globulin 3,1  GDP 117 HBA1C 6,7g                                                                      IMT 25.4 ( Obesitas I )                                                                              </t>
  </si>
  <si>
    <r>
      <t xml:space="preserve">Risiko Tinggi  (7) </t>
    </r>
    <r>
      <rPr>
        <sz val="12"/>
        <color rgb="FFFF0000"/>
        <rFont val="Times New Roman"/>
        <family val="1"/>
      </rPr>
      <t xml:space="preserve">   </t>
    </r>
    <r>
      <rPr>
        <sz val="12"/>
        <rFont val="Times New Roman"/>
        <family val="1"/>
      </rPr>
      <t xml:space="preserve">             </t>
    </r>
  </si>
  <si>
    <t xml:space="preserve">Kurangi merokok                                                                  Diet rendah lemak dan tinggi serat         Olahraga 150 mnt/minggu                            Konsul Sp PD Hiper triglsrida, Peningkatan Hba1c                                      Konsul Sp M presbiopia                            </t>
  </si>
  <si>
    <t xml:space="preserve">Doddy Setyo </t>
  </si>
  <si>
    <t>49 tahun</t>
  </si>
  <si>
    <t xml:space="preserve">BMI 26,33 ( obesitas I )                                                                              Visus OD 6/60 OS 6/60 Gigi berlubang 5                                                 cholestrol 223 LDL 130  Thorax : fibrosis basal paru kanan sugestif ec post infeksi Spirometri : obstruksi ringan                                        </t>
  </si>
  <si>
    <t>Risiko sedang (2)</t>
  </si>
  <si>
    <t xml:space="preserve"> Konsul Sp PD dislipidemia                    Konsul Sp P untuk  hasil thorax                  Olahraga 150mnt/minggu                       Makan sayur dan buah </t>
  </si>
  <si>
    <t>Rio satriawan</t>
  </si>
  <si>
    <t>45 Tahun</t>
  </si>
  <si>
    <t xml:space="preserve">Gigi hilang  (+)                                                                                                                                       GDP 103 LDL 125 TG 268                                                                      ODS : myopia  + presbiopia                                                                  </t>
  </si>
  <si>
    <t xml:space="preserve">Risiko sedang (3)                 </t>
  </si>
  <si>
    <t xml:space="preserve">Kotrol dokter gigi pro gigi tiruan             Makan sayur dan buah setiap hari         Olahraga 150 mnt/minggu                           Tidur minimal 6-8 jam sehari                     diet rendah purin                                   </t>
  </si>
  <si>
    <t xml:space="preserve">Yantoro </t>
  </si>
  <si>
    <t>42 tahun</t>
  </si>
  <si>
    <t xml:space="preserve">GDP 102 Hba1c 5.8 LDL 124 TGL 151                                                OD : astigmatisme  OS AMK ODS presbiopia                                       ADS : serumen + 
</t>
  </si>
  <si>
    <t xml:space="preserve">Makan sayur dan buah setiap hari                                  Olahraga 150 mnt/minggu                                      Diet rendah purin                                                                                                                                     pro pembuatan kacamata                                                 </t>
  </si>
  <si>
    <t>Rizal Fazaul Mufid</t>
  </si>
  <si>
    <t>Risiko Rendah (-2)</t>
  </si>
  <si>
    <t>Konsul dojter sp PD mengenai Hbs Ag dan hiper uricemia dan susp cholelitiasis 
Olahraga 150mnt/ minggu
Makan sayur dan buah
Diet rendah purin 
Minum air putih 2l/hari</t>
  </si>
  <si>
    <t>IMT : 28 (Obesitas)
Gigi : hilang dan Tumpatan
HbsAg : Positif
Basofil : 1.1, Neutrofil : 48.5, LDL : 114, UA : 7.4
Benang mukosa (+)
Hasil USG Abdomen : Fatty liver, Polyp kandung empedu</t>
  </si>
  <si>
    <t>Sudah Konsul dr.Sp.M tgl 3 Juni 2025
Saran : operasi pengambilan Pterygium/LA
Dilakukan tindakan operasi di tanggal 5 Juni 2025</t>
  </si>
  <si>
    <t>Sudah Konsul dr.Sp.PD tgl 4 Juni 2025
Terapi :  Atevir 1x1</t>
  </si>
  <si>
    <t xml:space="preserve">Viktor Haryanto </t>
  </si>
  <si>
    <t>37 Tahun</t>
  </si>
  <si>
    <t xml:space="preserve">Ginggivitis (+)                                                                            Cholestrol total 253 LDL 189                                                                       </t>
  </si>
  <si>
    <t xml:space="preserve">Risiko rendah (-2)                 </t>
  </si>
  <si>
    <t xml:space="preserve">Kotrol dokter gigi untuk PSA                Makan sayur dan buah setiap hari         Olahraga 150 mnt/minggu                       Kontrol Sp PD Hiperkolestrol                       </t>
  </si>
  <si>
    <t xml:space="preserve">Cholestrol total 217 LDL 145 Ureum 44                                              SSBC : Sel endoserviks ditemukan banyak leukosit   </t>
  </si>
  <si>
    <t xml:space="preserve">Risiko rendah(-2)
</t>
  </si>
  <si>
    <t xml:space="preserve">Olaharaga 150 mnt/ minggu                                                                                                 Minum air putih 2L/hari                                       Kontrol Sp PD Hiperkolestrol                               Makan sayur dan Buah setiap hari                                                      </t>
  </si>
  <si>
    <t xml:space="preserve">Ny. Prayoshi Utarina </t>
  </si>
  <si>
    <t xml:space="preserve">Tommy Setianto </t>
  </si>
  <si>
    <t>42 Tahun</t>
  </si>
  <si>
    <t xml:space="preserve">Gigi : Caries                                                                                                     BMI : 27.3 ( overweight)                                                                                                                      
Hba 1C : 5,7 Kolestrol LDL 151  
</t>
  </si>
  <si>
    <t>Risiko Rendah (2)</t>
  </si>
  <si>
    <t xml:space="preserve">olahraga 150mnt / minggu                    diet rendah purin                                             </t>
  </si>
  <si>
    <t>41 Tahun</t>
  </si>
  <si>
    <t xml:space="preserve">IMT : 26.01 (Overweight)
Gigi : Calculus, dan Missing 
Cholestrol total 230 kolestrol LDL :181, Bakteri urinalisis : 1774.5 
leukosit : 4580                                                                                                     Ekg : Sinus takikardi </t>
  </si>
  <si>
    <t xml:space="preserve">Risiko Sedang (3)
</t>
  </si>
  <si>
    <t xml:space="preserve">Olaharaga jalan 150 mnt/ minggu maksimal HR  179x/mnt                                                   Kontrol ke dokter gigi untuk scaling Konsul Sp penyakit dalam evaluasi Kolestrol, bakteri dalam urin                                      diet rendah purin                              </t>
  </si>
  <si>
    <t xml:space="preserve">Ny. Ika Yunita </t>
  </si>
  <si>
    <t xml:space="preserve"> 42 Tahun</t>
  </si>
  <si>
    <r>
      <t xml:space="preserve">IMT 23,18 ( obesitas I, Merokok (+) )                                                                      Gigi : Plak (+) Kalkulus,karies, Sisa akar                                                                                                                                                                                        Karang gigi semua regio Gigi hilang (+)                                            Mata : buta warna partial, Miopia (+) terkoreksi                                                                                                                                 </t>
    </r>
    <r>
      <rPr>
        <sz val="12"/>
        <color rgb="FFFF0000"/>
        <rFont val="Times New Roman"/>
        <family val="1"/>
      </rPr>
      <t xml:space="preserve">                                                                     </t>
    </r>
    <r>
      <rPr>
        <sz val="12"/>
        <rFont val="Times New Roman"/>
        <family val="1"/>
      </rPr>
      <t xml:space="preserve">                                                          </t>
    </r>
  </si>
  <si>
    <r>
      <rPr>
        <sz val="12"/>
        <color theme="1"/>
        <rFont val="Times New Roman"/>
        <family val="1"/>
      </rPr>
      <t xml:space="preserve">Risiko sedang (3)     </t>
    </r>
    <r>
      <rPr>
        <sz val="12"/>
        <rFont val="Times New Roman"/>
        <family val="1"/>
      </rPr>
      <t xml:space="preserve">                </t>
    </r>
  </si>
  <si>
    <t xml:space="preserve"> Olaharaga 150 mnt/ minggu                                                                                             Diet rendah purin                                      Minum air putih 2L/hari                                             makan buah dan sayur setiap hari                                                                </t>
  </si>
  <si>
    <t>39 Tahun</t>
  </si>
  <si>
    <t xml:space="preserve"> Merokok (+) Gigi berlubang (+)                                                                                                                                                                 </t>
  </si>
  <si>
    <t xml:space="preserve">
Risiko rendah (1)</t>
  </si>
  <si>
    <t xml:space="preserve">Olahraga 150mnt/minggu                      Diet rendah purin                                          Minum air putih 2l/hari                                Makan Buah dan sayur setiap hari                                                                                                                           </t>
  </si>
  <si>
    <t xml:space="preserve">Sony Adi Nurdono </t>
  </si>
  <si>
    <t xml:space="preserve">Tri Endoh Sari </t>
  </si>
  <si>
    <t>Sudah Konsul dr Sp.PD tgl 28 Juni 2025 
Terapi : Metformin 2x500mg dan Simvastatin 2x10mg
Saran : olahraga dan pola makan</t>
  </si>
  <si>
    <t xml:space="preserve">Sudah konsul dr Sp. P tgl 24 Juni 2025
Saran : Saat ini paru dalam batas normal
Sudah konsul Sp.PD tgl 24 Juni 2025
Terapi : Tidak ada terapi
Saran : Olahraga rutin dan pola makan </t>
  </si>
  <si>
    <t>Edy Utomo</t>
  </si>
  <si>
    <t>52 Tahun</t>
  </si>
  <si>
    <t xml:space="preserve">Merokok (+)                                                                                                  Cholestrol 220 LDL 164                                </t>
  </si>
  <si>
    <t xml:space="preserve">Risiko Sedang(3)
</t>
  </si>
  <si>
    <t xml:space="preserve">Olaharaga 150 mnt/ minggu                                                                                             Diet rendah purin                                      Minum air putih 2L/hari                         Kurangi Merokok                                  makan buah dan sayur setiap hari                                                                                                 </t>
  </si>
  <si>
    <t xml:space="preserve">Ferdhian Rahmansyah </t>
  </si>
  <si>
    <t xml:space="preserve"> 55 Tahun</t>
  </si>
  <si>
    <r>
      <t xml:space="preserve">uric acid 7.3 creatine 1.12 SGPT 42                                                                   Ginggivitis kronis karang gigi                                                                     Riw : pemasangan Ring jantung Nov 2024 ( truvas, CPG,Aspirin)                                         </t>
    </r>
    <r>
      <rPr>
        <sz val="12"/>
        <color rgb="FFFF0000"/>
        <rFont val="Times New Roman"/>
        <family val="1"/>
      </rPr>
      <t xml:space="preserve">                                                                     </t>
    </r>
    <r>
      <rPr>
        <sz val="12"/>
        <rFont val="Times New Roman"/>
        <family val="1"/>
      </rPr>
      <t xml:space="preserve">                                                          </t>
    </r>
  </si>
  <si>
    <r>
      <t xml:space="preserve">Risiko sedang (3) </t>
    </r>
    <r>
      <rPr>
        <sz val="12"/>
        <color rgb="FFFF0000"/>
        <rFont val="Times New Roman"/>
        <family val="1"/>
      </rPr>
      <t xml:space="preserve"> </t>
    </r>
    <r>
      <rPr>
        <sz val="12"/>
        <rFont val="Times New Roman"/>
        <family val="1"/>
      </rPr>
      <t xml:space="preserve">                         </t>
    </r>
  </si>
  <si>
    <t xml:space="preserve"> Olaharaga 150 mnt/ minggu                                                                                             Diet rendah purin                                      Minum air putih 2L/hari                                             makan buah dan sayur setiap hari                    Konsul Sp PD Hiperuricacid                                            </t>
  </si>
  <si>
    <t>Muslim Nugraha</t>
  </si>
  <si>
    <t>Agustain</t>
  </si>
  <si>
    <t xml:space="preserve">47 tahun </t>
  </si>
  <si>
    <r>
      <rPr>
        <sz val="12"/>
        <rFont val="Times New Roman"/>
        <family val="1"/>
      </rPr>
      <t xml:space="preserve"> Asam urat 7,9                                                                     Karang gigi (+)                                                                                                                                                    </t>
    </r>
    <r>
      <rPr>
        <sz val="12"/>
        <color rgb="FFFF0000"/>
        <rFont val="Times New Roman"/>
        <family val="1"/>
      </rPr>
      <t xml:space="preserve">                                                                                                     </t>
    </r>
  </si>
  <si>
    <t xml:space="preserve">Olaharaga 150mnt/minggu                                       Istirahat cukup 6-8 jam / hari                       Minum Air putih 2l/hari                                                                                     Makan sayur dan buah setiap hari </t>
  </si>
  <si>
    <t>40 Tahun</t>
  </si>
  <si>
    <t xml:space="preserve">
IMT : 26.15 (Obesitas I )  
USG Abdomen : Kista adnexa kanan, kesan Simple Cyst Ovarium kanan (ukuran 40x34 mm)                                                             hepar, Gall Blader, Lien, pancreas kedua ginjal Buli Buli,Uterus, Adnexa kiri normal  </t>
  </si>
  <si>
    <t xml:space="preserve">Risiko Sedang (4) </t>
  </si>
  <si>
    <t xml:space="preserve">Olaharaga 150mnt/minggu                                       Istirahat cukup 6-8 jam / hari                       Minum Air putih 2l/hari                                                   Konsul Sp OG untuk Cyst ovarium                                           Makan sayur dan buah setiap hari </t>
  </si>
  <si>
    <t xml:space="preserve">Ny Enggan Anggana </t>
  </si>
  <si>
    <t xml:space="preserve">Ginggivitis Marginalis chronis ec dental calculus                           Cholestrol 259 LDL 184 TGL 179                                               </t>
  </si>
  <si>
    <t xml:space="preserve">
Risiko Sedang (3) </t>
  </si>
  <si>
    <t xml:space="preserve">Olahraga 150mnt/minggu                      Diet rendah purin                                          Minum air putih 2l/hari                                Makan Buah dan sayur setiap hari                      Konsul Sp PD  Dislipidemia                         Konsul Sp KG Ginggivitis                                                                                       </t>
  </si>
  <si>
    <t xml:space="preserve">Ny Erlina  Devi Yuasnita </t>
  </si>
  <si>
    <t>Abdul Aziz Alfi</t>
  </si>
  <si>
    <t>35 Tahun</t>
  </si>
  <si>
    <t>Eosinofil : 7.1, Neutrofil : 42.7, Limfosit : 41.7, Eosinofil Absolut : 0.70, Lomfosit Absolut : 4.12,Chol : 230, LDL : 158, HDL : 31, TG : 264, UA : 9.3
Albumin urine : 25 (+1), Benang mukosa (+)
IMT : 33.69 (Obesitas)
Konjungtiva : Hiperemis
Tonsil : T2 Hipertrofi
Mata : Myopia astigmat dan ODS Pingueculitis
USG Abdomen : Fatty Liver
Gigi : Karies, Abrasi, dan tumpatan gigi</t>
  </si>
  <si>
    <t>Risiko Tinggi (5)</t>
  </si>
  <si>
    <t>Jerry Saputra Mabuka</t>
  </si>
  <si>
    <t xml:space="preserve">LED : 19, UA : 7.3
Audiometri : 
AD : Gangguan pendengaran konduktif derajat ringan
AS : Normal
RPD : 2015 operasi kelenjar getah bening
IMT : 28.34 (Obesitas)
Serumen : Menyumbat ADS
Mata : OD Astigmatisma myopia compositus, OS Myopia, ODS Presbyopia, ODS Amblyopia Refractive
USG Abdomen : fatty liver
Gigi : karang, karies, sisa akar, gigi hilang dan impaksi
</t>
  </si>
  <si>
    <t>Risiko Rendah (0)</t>
  </si>
  <si>
    <t xml:space="preserve">Konsul Sp THT untuk spooling serumen           Konsul Sp PD Hiper Uric Acid                                                     Olahraga 150mnt/minggu                                        Istirahat 6-8 jam                                              Konsul Sp M untuk koreksi kacamata                                   </t>
  </si>
  <si>
    <t>Ahmad Rindwan</t>
  </si>
  <si>
    <t>Cheilitis, Periodontitis kronis marginalis, Pulpitis reversible
Mempunyai Riwayat : SLE (Sendi,kulit), HT dan Glaukoma
Pengobatan : Myfortic360, Herbeser 200, Canderin 16mg, Prove D3 5000
IMT : 27 (Obesitas)
Mata : ODS miop astigmat kompo &amp; presbiop
Chol : 234, LDL : 147, WBC : 14.00, Neutrophils : 84, Lymphocytes : 10
USG Abdomen : Fatty liver grade II (moderat) + small cyst lobus kanan liver, Sludge gall bladder, Kista ginjal bilateral
Thorax : Cardiomegali
Spirometri : Restriksi berat</t>
  </si>
  <si>
    <t>Risiko Sedang (3)</t>
  </si>
  <si>
    <t xml:space="preserve">Konsul Sp JP cardiomegali                      Konsul Sp KG untuk PSA                                            Konsul SP PD Hipercholestrolemia, Small cyst kanan liver                                              Olahraga ringan jalan kaki 10.000 langkah              Istirahat 6-8 jam per hari                              </t>
  </si>
  <si>
    <t>Setya Wisnu Aprialdi</t>
  </si>
  <si>
    <t>28 Tahun</t>
  </si>
  <si>
    <t>Epitel cel : +
USG Abdomen : Mild Fatty Liver
Thorax : Skoliosis thoracalis dengan konveksitas ke kiri
gigi : Ginggivitis marginalis, pulpitis reversible, periodontitis kronis karena gangren radix</t>
  </si>
  <si>
    <t>Risiko Rendah (-3)</t>
  </si>
  <si>
    <t>Wahyu Darma</t>
  </si>
  <si>
    <t>29 Tahun</t>
  </si>
  <si>
    <t>IMT : 25.2 (Overweight)
UA : 7.9, Chol : 219, LDL : 154, ESR : 38
Epitel Cell Urine : +
USG Abdomen : Mild fatty liver dan Sludge gall bladder
Gigi : Ginggivitis marginalis karena klarang dan impaksi
Treadmill : Supraventriculae tachycardia at recovery phase</t>
  </si>
  <si>
    <t xml:space="preserve">Olahraga 150mnt/minggu                                     istirahat 6-8 jam  per hari                                                                                                                             </t>
  </si>
  <si>
    <t>Ahmad Hijuddin</t>
  </si>
  <si>
    <t>48 Tahun</t>
  </si>
  <si>
    <t>Eosinofil : 6.2, Neutrofil : 49.4, Monosit Absolut : 0.21, GDP : 103, HbA1c (NGSP) : 6, HbA1c (IFCC) : 42, Chol : 224, LDL : 155
Terdapat benjolan di dahi diameter kurang lebih 1.5 cm
Mata : ODS Myopia, ODS Astigmat dan ODS Presbyopia
Gigi : Karang gigi di semua regio dan faktur gigi
USG Abdomen : Fatty liver</t>
  </si>
  <si>
    <t>Risiko Sedang (4)</t>
  </si>
  <si>
    <t xml:space="preserve">Konsul Sp PD Hipercholestrolemia                                     Kontrol Sp KG Pro Scalling                                     Istirhat cukup 6-8 jam per hari                        Olahraga 150mnt/minggu </t>
  </si>
  <si>
    <t>51 Tahun</t>
  </si>
  <si>
    <t xml:space="preserve">P5 </t>
  </si>
  <si>
    <t>Suhan Wansyah</t>
  </si>
  <si>
    <t>49 Tahun</t>
  </si>
  <si>
    <t xml:space="preserve">BMI : 26.7 (Overweight)
Gigi : Pulpitis Reversibel, Ginggivitis Marginali
Bilirubin Total : 2.17, Bilirubin Indirect : 1.67, Ratio T.Chol/HDL Chol : 5.9, Uric Acid : 7.6, GDP : 117, Chol : 220, TG : 306
Monocytes : 10
protein Urine : Trace
Audiometri : AD : Normal
AS : Sensorineural Hearing Loss High Frequency (Mild)
USG Abdomen : Mild Fatty Liver dan Polyp Gall Bladder
Mata : ODS Miop Presbiop
</t>
  </si>
  <si>
    <t>Risiko Sedang (2)</t>
  </si>
  <si>
    <t>Konsul Sp PD Dislipidemia                                                                          Olahraga jalan kaki 30mnt/hari                       Minum air putih 2l/hari                               istriahat cukup 2l/hari                                                             Diet rendah purin</t>
  </si>
  <si>
    <t>24 Tahun</t>
  </si>
  <si>
    <t>Eritrosit : 5.4, MCV : 76, MCH : 24, MCHC : 31, Monosit Absolut : 0.27, SGOT : 31
Gigi : Karang gigi di semua regio
Mata : ODS Myopia, ODS Astogmatisme, ODS Dry Eye Syndrome</t>
  </si>
  <si>
    <t>Risiko Rendah (-4)</t>
  </si>
  <si>
    <t xml:space="preserve">Kontrol Sp KG pro scalling                                            Istrahat cukup 6-8 bjam/hari                          Minum 2l/hari                                                Olahraga 150mnt/minggu </t>
  </si>
  <si>
    <t>Eko Pambudi Suryanto</t>
  </si>
  <si>
    <t>50 Tahun</t>
  </si>
  <si>
    <t xml:space="preserve">Neutrofil : 73.9, Limfosit : 15.5, Limfosit Absolut : 1.02, HbA1c (NGSP) : 6.5, HbA1c (IFCC) : 48, Chol : 212, LDL : 153, HDL : 39, TG : 195, UA : 8
BMI : 27.96 (Obesitas)
Hipertrofitonsil D
USG Abdomen : Fatty Liver
Audiometri : 
AD : Normal. Penginkatan ambang dengar pada frekuensi 8000 Hz : 35 dB
AS : Normal. Peningkatan ambang dengar pada frekuensi 4000 Hz : 35 dB dan 6000 Hz : 35 dB
Mata : ODS presbyopia
Gigi : Karies, abrasi dan gigi hilang
 </t>
  </si>
  <si>
    <t>Risiko Tinggi (9)</t>
  </si>
  <si>
    <t xml:space="preserve">Kontrol Sp KG pro scalling                          kontrol Sp PD Dislipedimia                                         Istrahat cukup 6-8 bjam/hari                          Minum air putih  2l/hari                                                Olahraga 150 mnt/minggu                                           </t>
  </si>
  <si>
    <t>Guruh Prasetyo</t>
  </si>
  <si>
    <t>LDL : 123
Hipertrofitonsil Dextra et Sinistra
USG Abdomen : Mild fatty liver
Mata : ODS AMK
Gigi : Karang gigi, Karies gigi, Gigi hilang, Tumpatan</t>
  </si>
  <si>
    <t xml:space="preserve">Istriahat Cukup 6-8 jam                                 Kurangi air minum dingin                                 Kontrol Sp KG pro Scalling                                      Kontrol Sp THT hipertrofitonsil                                Olahraga 150mnt/minggu                                        Minum air putih 2l/hari </t>
  </si>
  <si>
    <t>Syahfrizal Akbar Herlambang</t>
  </si>
  <si>
    <t>Hematokrit : 52.7, MCH : 25, MCHC : 31, Eosinofil : 0.8, Neutrofil : 71.9, Limfosit : 20.7, Chol : 201, LDL : 144
Albumin : 25(+1), Keton 5(+1)
TD : 135/65
Suspek Dermatitis di Leher D
Mata : OD Myopia dan OS Astigmatisme Myopia Compositus
Gigi : Karang, Tumpatan, Karies, dan Impaksi
USG Abdomen : Mild Fatty Liver
Treadmill : Arrhythmia : PVC Occ. Tidak ada respon iskemik</t>
  </si>
  <si>
    <t>Risiko Rendah (-6)</t>
  </si>
  <si>
    <r>
      <t xml:space="preserve">Cholestrol LDL 136 HDL 39 Asam urat 8.5                                         Karang gigi semua regio Gigi hilang (+)                                                                                                    </t>
    </r>
    <r>
      <rPr>
        <sz val="12"/>
        <color rgb="FFFF0000"/>
        <rFont val="Times New Roman"/>
        <family val="1"/>
      </rPr>
      <t xml:space="preserve">                                                                     </t>
    </r>
    <r>
      <rPr>
        <sz val="12"/>
        <rFont val="Times New Roman"/>
        <family val="1"/>
      </rPr>
      <t xml:space="preserve">                                                          </t>
    </r>
  </si>
  <si>
    <r>
      <t xml:space="preserve">Risiko rendah(2) </t>
    </r>
    <r>
      <rPr>
        <sz val="12"/>
        <color rgb="FFFF0000"/>
        <rFont val="Times New Roman"/>
        <family val="1"/>
      </rPr>
      <t xml:space="preserve"> </t>
    </r>
    <r>
      <rPr>
        <sz val="12"/>
        <rFont val="Times New Roman"/>
        <family val="1"/>
      </rPr>
      <t xml:space="preserve">                         </t>
    </r>
  </si>
  <si>
    <t xml:space="preserve">Olaharaga 150 mnt/ minggu                                                                                             Diet rendah purin                                      Minum air putih 2L/hari                                             makan buah dan sayur setiap hari                    Konsul Sp PD Hiperuricacid                                            </t>
  </si>
  <si>
    <t>Sudah Konsul dr Sp.PD tgl 21 Juni 2025
Terapi : Festaric 1x80 mg</t>
  </si>
  <si>
    <t xml:space="preserve">Abdul Rachim </t>
  </si>
  <si>
    <t>Duto Nuswantoko</t>
  </si>
  <si>
    <t>BMI : 25.6 (Overweight)
USG Abdomen : Plyp Gallbladder Multiple
Mata : ODS Miop Astigmat Kompositus
Gigi : Ginggivitis Marginalis Kronis, Pulpitis
Chol : 210, LDl : 142, Eosinophils : 14</t>
  </si>
  <si>
    <t xml:space="preserve">Konsul Sp PD hipercholestrolemia                   Diet rendah purin                                           diannjurkan makan sayur dan buah setiap hari                                                      Istirahat cukup 6 - 8 jam per hari                            Olahraga 150mnt/minggu </t>
  </si>
  <si>
    <t>Shofianah Nuruddin</t>
  </si>
  <si>
    <t>BMI : 30.7 (Obesitas)
Eosinofil : 1.9, Lymphosit : 34.3, Alkali Fosfate : 101, Eritrosit : 5.15, Chol : 221, LDL : 129
USG Abdomen : Mild fatty liver dan mioma uteri multiple dengan ukuran terbesar : kurang lebih 50 x 62.7 mm
USG Mammae : Multiple benign cyst mammae kiri diameter : kurang lebih 4 mm - 4.8 mm
Gigi : Berlubang, karang dan gigi hilang
Mata : OD Astigmat miope simplek, OS Astigmat miope kompositus dan ODS presbiope
Spirometri : Restriksi ringan dan tidak ada obstruksi
Pap smear : Nulm (Negatif untuk lesi intra epitel dan keganasan) dan Atrophy smear</t>
  </si>
  <si>
    <t xml:space="preserve">Konsul Sp OG Multiple myoma uteri                 Konsul Sp B Multiple Cys Mammae S                                                      Kontrol Sp KG untuk pro Scalliing                       olahraga jalan 10.000 langkah setiap hai                      Diet rendah purin                                              Makan sayur dan buah setiap hari                        Istirahat cukup 6-8 jam per hari </t>
  </si>
  <si>
    <t>Rinaldi Wiriadinata</t>
  </si>
  <si>
    <t>TD : 132/95
BMI : 27.3 (Obesitas)
Suara Napas : Wheezing
Riwayat Penyakit Sekarang : Napas tidak bisa lega, Asam kambuh, Sejak kemari. Sudah nebul dan minum obat, Sudah membaik
Riwayat Operasi : Benjolan leher koro tahun 2024, Kelenjar saja dan jinak
Obat : Eufilin, Erdobat, Nebul
Mata : Astigmatisme OD dan Prebyopia
Spirometri : Obstruksi &amp; restriksi paru ringan
LED : 21, Neutrofil Batang : 1, Neutrofil Segmen : 13, eritrosit : 5.6, NLR : 6.08, GDP : 108, Chol : 241, LDL : 158, UA : 7.1
Thorax : Bekas keradangan minimal di basal paru kiri. Hemidiaphragma kiri letak tinggi
USG Abdomen : Fatty liver dan kalsifikasi prostat
Gigi : Tambalan permanen, gigi tiruan, dan kadang gigi
Spirometri : Obstruksi dan restriksi ringan</t>
  </si>
  <si>
    <t xml:space="preserve">Kontrol Sp P jika terjadi Asma Reccurent                Hindari alergi penvcetus asma                             Mengurangi Konsumsi Kopi malam hari             Maksimal makan malam pukul 19.00                 Olaharaga 150mnt/minggu                                Makan buah dan sayur setiap hari </t>
  </si>
  <si>
    <t>Akhmad Andito Negoro</t>
  </si>
  <si>
    <t>38 Tahun</t>
  </si>
  <si>
    <t>Riwayat Operasi : Operasi ke il di keilngking kaki kanan
Hemoglobin : 13.7, LED : 13, Neutrofil Batang : 0, Neutrofil Segmen : 45, Limfosit : 44, SGOT : 45, LDL : 130
USG Abdomen : Fatty liver amat ringan
Gigi : Gigi tiruan, mahkota/crown, dan hilang</t>
  </si>
  <si>
    <t>Risiko Rendah (-1)</t>
  </si>
  <si>
    <t>P1</t>
  </si>
  <si>
    <t xml:space="preserve">Olahraga 150mnt/minggu                                      Istirahat cukup 150mnt/mingu                                               dianjurkan Makan buah dan sayur setiap hari </t>
  </si>
  <si>
    <t>Agus Miharto</t>
  </si>
  <si>
    <t>47 Tahun</t>
  </si>
  <si>
    <t>RPD : Diabetes Melitus
Riwayat Penyakit Saat Ini : Lengan atas tidak bisa di angkat sudah 3 minggu terakhir
Gigi : RA/RB Calculus
USG Abdomen : Cholelithiasis multiple (batu multiple, ukuran terbesar 1,0 cm) dan Piolip gall blader (tampak polip ukuran 0,24 cm)
Mata : ODS anomali refreksi
Monosit : 2, Chol : 239, GDP : 119, HbA1c : 10.70, GD2JPP : 81
Glucose Urine : 3+, Urobilinogen : Nor</t>
  </si>
  <si>
    <t>Risiko Tinggi (7)</t>
  </si>
  <si>
    <t xml:space="preserve">Diet rendah Gula                                             Kontrol Sp PD untuk Cholelitiasis, Hipercholestrolemia dan Dm tipe II                               Istirahat cukup 6-8 jam                                                     Makan bukh dan sayur setiap hari                      Olahraga 150mnt/minggu                                            </t>
  </si>
  <si>
    <t>Gunawan</t>
  </si>
  <si>
    <t>Merokok (+),                                                                                          Cholestrol 222 , TG LDL 135                                                                       IMT 25.4 ( Obesitas I )                                                                              Visus mata OD 6/12 OS 6/12</t>
  </si>
  <si>
    <r>
      <t xml:space="preserve">Risiko Tinggi  (5) </t>
    </r>
    <r>
      <rPr>
        <sz val="12"/>
        <color rgb="FFFF0000"/>
        <rFont val="Times New Roman"/>
        <family val="1"/>
      </rPr>
      <t xml:space="preserve">   </t>
    </r>
    <r>
      <rPr>
        <sz val="12"/>
        <rFont val="Times New Roman"/>
        <family val="1"/>
      </rPr>
      <t xml:space="preserve">             </t>
    </r>
  </si>
  <si>
    <t>Kurangi merokok                                                                  Diet rendah lemak dan tinggi serat         Olahraga 150 mnt/minggu                            Konsul Sp PD dislipedimia</t>
  </si>
  <si>
    <t xml:space="preserve">Konsul Sp. PD Hipercolesterolemia, Hipertrigliserid dan Hiperuricemia
Olaharaga 150 mnt/minggu                               Makan buah dan sayur setiap hari                            Istirahat 6-8 jam per hari                                                                               </t>
  </si>
  <si>
    <t xml:space="preserve">Sudah konsul ke dr Sp.PD tgl 27 Juni 2025 
Terapi Roswin 10 mg 
Prove D3 5000 IU </t>
  </si>
  <si>
    <t>Sudah konsul dr Sp.THT tgl 2 Juli 2025 
Tindakan pembersihan telinga
Sudah diberikan obat isoric 100 mg 1x1
dan rencana tes asam urat ulang tgl 17 Juli 2025</t>
  </si>
  <si>
    <t>Shafa Alifia Salsabila</t>
  </si>
  <si>
    <t xml:space="preserve">Olahraga 150mnt/minggu                                                       istirahat 6-8 jam  per hari                           Minum air putih 2l /hari                                 konsul Sp PD Hipercholestrolemia dan hasil USG Abdomen 
konsul Sp.JP hasil treadmill                                                                                                        </t>
  </si>
  <si>
    <t>Kontrol Sp DV Dermatitis                                      Diet rendah purin                                                   Kontrol Sp Bedah Mulut scalling, Impaksi                              Olahraga 150mnt/minggu</t>
  </si>
  <si>
    <t>Risiko Rendah 0</t>
  </si>
  <si>
    <t>P5</t>
  </si>
  <si>
    <t xml:space="preserve">Taufan </t>
  </si>
  <si>
    <t>20 Tahun</t>
  </si>
  <si>
    <t xml:space="preserve">Olahraga 150 mnt/minggu 
 Minum air putih 2l/hari                                Diet rendah purin
Makan sayur dan buah setiap hari 
Istirahat cukup 6-7 jam per hari 
Konsul Sp THT Cerumen 
</t>
  </si>
  <si>
    <r>
      <t xml:space="preserve">Telinga : Impacted Cerumen ADS 
LDL : 122
EKG : Sinus Bradikardi 
</t>
    </r>
    <r>
      <rPr>
        <sz val="12"/>
        <color rgb="FFFF0000"/>
        <rFont val="Times New Roman"/>
        <family val="1"/>
      </rPr>
      <t xml:space="preserve">Belum Treadmill </t>
    </r>
  </si>
  <si>
    <t>ResikoTinggi  (3)</t>
  </si>
  <si>
    <t xml:space="preserve">Belum Treadmill </t>
  </si>
  <si>
    <t>Wendi Kurnia</t>
  </si>
  <si>
    <t>23  Tahun</t>
  </si>
  <si>
    <t xml:space="preserve">BMI : 19,68 ( underweight) 
Mata : Penurunan visusmata jarak jauh 
Karang gigi (+) kalkulus (+) Stain (+)
 </t>
  </si>
  <si>
    <t>Resiko Rendah (-2)</t>
  </si>
  <si>
    <t xml:space="preserve">Olahraga jalan kaki 30 menit per hari              Minum air putih 2l/hari                                Diet rendah purin
Makan sayur dan buah setiap hari 
Istirahat cukup 6-7 jam per hari 
Konsul Sp Mata ( untuk koreksi kacamata )  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</si>
</sst>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;@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1"/>
      <color theme="1"/>
      <name val="Calibri"/>
      <family val="2"/>
      <scheme val="minor"/>
    </font>
    <font>
      <sz val="12"/>
      <color rgb="FFFF0000"/>
      <name val="Times New Roman"/>
      <family val="1"/>
    </font>
    <font>
      <b/>
      <sz val="12"/>
      <color rgb="FFFF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5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left" vertical="center"/>
    </xf>
    <xf numFmtId="14" fontId="4" fillId="0" borderId="1" xfId="0" applyNumberFormat="1" applyFont="1" applyFill="1" applyBorder="1" applyAlignment="1">
      <alignment horizontal="center" vertical="center" wrapText="1"/>
    </xf>
    <xf numFmtId="14" fontId="4" fillId="0" borderId="1" xfId="0" applyNumberFormat="1" applyFont="1" applyFill="1" applyBorder="1" applyAlignment="1">
      <alignment horizontal="left" vertical="center" wrapText="1"/>
    </xf>
    <xf numFmtId="0" fontId="0" fillId="3" borderId="0" xfId="0" applyFill="1" applyAlignment="1">
      <alignment horizontal="left" vertical="center"/>
    </xf>
    <xf numFmtId="0" fontId="0" fillId="3" borderId="0" xfId="0" applyFill="1"/>
    <xf numFmtId="164" fontId="0" fillId="0" borderId="0" xfId="0" applyNumberFormat="1" applyAlignment="1">
      <alignment horizontal="center" vertical="center"/>
    </xf>
    <xf numFmtId="164" fontId="5" fillId="4" borderId="1" xfId="0" applyNumberFormat="1" applyFont="1" applyFill="1" applyBorder="1" applyAlignment="1">
      <alignment horizontal="center" vertical="center" wrapText="1"/>
    </xf>
    <xf numFmtId="164" fontId="5" fillId="0" borderId="1" xfId="0" applyNumberFormat="1" applyFont="1" applyFill="1" applyBorder="1" applyAlignment="1">
      <alignment horizontal="center" vertical="center" wrapText="1"/>
    </xf>
    <xf numFmtId="164" fontId="0" fillId="0" borderId="0" xfId="0" applyNumberFormat="1"/>
    <xf numFmtId="0" fontId="7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164" fontId="5" fillId="4" borderId="1" xfId="0" applyNumberFormat="1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164" fontId="5" fillId="4" borderId="1" xfId="0" applyNumberFormat="1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0" fillId="0" borderId="0" xfId="0"/>
    <xf numFmtId="0" fontId="5" fillId="4" borderId="1" xfId="0" applyFont="1" applyFill="1" applyBorder="1" applyAlignment="1">
      <alignment horizontal="center" vertical="center" wrapText="1"/>
    </xf>
    <xf numFmtId="164" fontId="5" fillId="4" borderId="1" xfId="0" applyNumberFormat="1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0" fillId="0" borderId="0" xfId="0"/>
    <xf numFmtId="0" fontId="4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164" fontId="5" fillId="4" borderId="1" xfId="0" applyNumberFormat="1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164" fontId="5" fillId="4" borderId="1" xfId="0" applyNumberFormat="1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64" fontId="3" fillId="3" borderId="1" xfId="0" applyNumberFormat="1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left" vertical="center"/>
    </xf>
    <xf numFmtId="0" fontId="3" fillId="2" borderId="4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/>
    </xf>
    <xf numFmtId="0" fontId="3" fillId="2" borderId="4" xfId="0" applyFont="1" applyFill="1" applyBorder="1" applyAlignment="1">
      <alignment horizontal="left"/>
    </xf>
    <xf numFmtId="0" fontId="3" fillId="2" borderId="5" xfId="0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 vertical="center"/>
    </xf>
  </cellXfs>
  <cellStyles count="3">
    <cellStyle name="Normal" xfId="0" builtinId="0"/>
    <cellStyle name="Normal 2 2" xfId="2" xr:uid="{00000000-0005-0000-0000-000001000000}"/>
    <cellStyle name="Normal 2 2 2 2" xfId="1" xr:uid="{00000000-0005-0000-0000-000002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2:L55"/>
  <sheetViews>
    <sheetView tabSelected="1" zoomScale="50" zoomScaleNormal="83" workbookViewId="0">
      <selection activeCell="J54" sqref="J54"/>
    </sheetView>
  </sheetViews>
  <sheetFormatPr defaultRowHeight="14.5" x14ac:dyDescent="0.35"/>
  <cols>
    <col min="1" max="1" width="7" style="2" customWidth="1"/>
    <col min="2" max="2" width="22.26953125" style="4" customWidth="1"/>
    <col min="3" max="3" width="17.26953125" customWidth="1"/>
    <col min="4" max="4" width="18.1796875" customWidth="1"/>
    <col min="5" max="5" width="20.54296875" style="15" customWidth="1"/>
    <col min="6" max="6" width="61.7265625" customWidth="1"/>
    <col min="7" max="7" width="23.453125" style="3" customWidth="1"/>
    <col min="8" max="8" width="19" style="1" customWidth="1"/>
    <col min="9" max="9" width="29.81640625" style="1" customWidth="1"/>
    <col min="10" max="10" width="38.26953125" style="1" customWidth="1"/>
    <col min="11" max="11" width="48.453125" style="1" customWidth="1"/>
    <col min="12" max="12" width="30" style="1" customWidth="1"/>
  </cols>
  <sheetData>
    <row r="2" spans="1:12" ht="15.5" x14ac:dyDescent="0.35">
      <c r="A2" s="51" t="s">
        <v>10</v>
      </c>
      <c r="B2" s="52"/>
      <c r="C2" s="53"/>
      <c r="D2" s="57" t="s">
        <v>13</v>
      </c>
      <c r="E2" s="57"/>
      <c r="F2" s="57"/>
      <c r="G2" s="57"/>
      <c r="H2" s="57"/>
      <c r="I2" s="57"/>
      <c r="J2" s="57"/>
      <c r="K2" s="57"/>
      <c r="L2" s="57"/>
    </row>
    <row r="3" spans="1:12" ht="15.5" x14ac:dyDescent="0.35">
      <c r="A3" s="54" t="s">
        <v>11</v>
      </c>
      <c r="B3" s="55"/>
      <c r="C3" s="56"/>
      <c r="D3" s="58" t="s">
        <v>25</v>
      </c>
      <c r="E3" s="58"/>
      <c r="F3" s="58"/>
      <c r="G3" s="58"/>
      <c r="H3" s="58"/>
      <c r="I3" s="58"/>
      <c r="J3" s="58"/>
      <c r="K3" s="58"/>
      <c r="L3" s="58"/>
    </row>
    <row r="4" spans="1:12" ht="19.5" customHeight="1" x14ac:dyDescent="0.35">
      <c r="A4" s="54" t="s">
        <v>12</v>
      </c>
      <c r="B4" s="55"/>
      <c r="C4" s="56"/>
      <c r="D4" s="58" t="s">
        <v>22</v>
      </c>
      <c r="E4" s="58"/>
      <c r="F4" s="58"/>
      <c r="G4" s="58"/>
      <c r="H4" s="58"/>
      <c r="I4" s="58"/>
      <c r="J4" s="58"/>
      <c r="K4" s="58"/>
      <c r="L4" s="58"/>
    </row>
    <row r="5" spans="1:12" ht="15" thickBot="1" x14ac:dyDescent="0.4">
      <c r="D5" s="1"/>
      <c r="E5" s="12"/>
      <c r="F5" s="1"/>
      <c r="G5" s="1"/>
    </row>
    <row r="6" spans="1:12" ht="15" x14ac:dyDescent="0.35">
      <c r="A6" s="39" t="s">
        <v>0</v>
      </c>
      <c r="B6" s="41" t="s">
        <v>1</v>
      </c>
      <c r="C6" s="41"/>
      <c r="D6" s="41"/>
      <c r="E6" s="41" t="s">
        <v>2</v>
      </c>
      <c r="F6" s="41"/>
      <c r="G6" s="41"/>
      <c r="H6" s="41"/>
      <c r="I6" s="41"/>
      <c r="J6" s="41"/>
      <c r="K6" s="45"/>
      <c r="L6" s="46"/>
    </row>
    <row r="7" spans="1:12" ht="15.75" customHeight="1" x14ac:dyDescent="0.35">
      <c r="A7" s="40"/>
      <c r="B7" s="42" t="s">
        <v>3</v>
      </c>
      <c r="C7" s="42" t="s">
        <v>5</v>
      </c>
      <c r="D7" s="42" t="s">
        <v>4</v>
      </c>
      <c r="E7" s="43" t="s">
        <v>6</v>
      </c>
      <c r="F7" s="48" t="s">
        <v>26</v>
      </c>
      <c r="G7" s="47" t="s">
        <v>8</v>
      </c>
      <c r="H7" s="47" t="s">
        <v>55</v>
      </c>
      <c r="I7" s="47" t="s">
        <v>9</v>
      </c>
      <c r="J7" s="44" t="s">
        <v>7</v>
      </c>
      <c r="K7" s="49" t="s">
        <v>61</v>
      </c>
      <c r="L7" s="44" t="s">
        <v>14</v>
      </c>
    </row>
    <row r="8" spans="1:12" ht="51" hidden="1" customHeight="1" x14ac:dyDescent="0.35">
      <c r="A8" s="40"/>
      <c r="B8" s="42"/>
      <c r="C8" s="42"/>
      <c r="D8" s="42"/>
      <c r="E8" s="43"/>
      <c r="F8" s="48"/>
      <c r="G8" s="47"/>
      <c r="H8" s="42"/>
      <c r="I8" s="47"/>
      <c r="J8" s="44"/>
      <c r="K8" s="50"/>
      <c r="L8" s="44"/>
    </row>
    <row r="9" spans="1:12" ht="195" hidden="1" customHeight="1" x14ac:dyDescent="0.35">
      <c r="A9" s="5">
        <v>1</v>
      </c>
      <c r="B9" s="22" t="s">
        <v>123</v>
      </c>
      <c r="C9" s="6">
        <v>32</v>
      </c>
      <c r="D9" s="6" t="s">
        <v>27</v>
      </c>
      <c r="E9" s="13">
        <v>45763</v>
      </c>
      <c r="F9" s="6" t="s">
        <v>34</v>
      </c>
      <c r="G9" s="6" t="s">
        <v>28</v>
      </c>
      <c r="H9" s="6"/>
      <c r="I9" s="6" t="s">
        <v>29</v>
      </c>
      <c r="J9" s="6" t="s">
        <v>31</v>
      </c>
      <c r="K9" s="6"/>
      <c r="L9" s="6" t="s">
        <v>15</v>
      </c>
    </row>
    <row r="10" spans="1:12" ht="208.5" hidden="1" customHeight="1" x14ac:dyDescent="0.35">
      <c r="A10" s="5">
        <f>A9+1</f>
        <v>2</v>
      </c>
      <c r="B10" s="6" t="s">
        <v>32</v>
      </c>
      <c r="C10" s="6">
        <v>56</v>
      </c>
      <c r="D10" s="6" t="s">
        <v>33</v>
      </c>
      <c r="E10" s="13">
        <v>45772</v>
      </c>
      <c r="F10" s="6" t="s">
        <v>36</v>
      </c>
      <c r="G10" s="6" t="s">
        <v>35</v>
      </c>
      <c r="H10" s="19" t="s">
        <v>30</v>
      </c>
      <c r="I10" s="19" t="s">
        <v>30</v>
      </c>
      <c r="J10" s="19" t="s">
        <v>37</v>
      </c>
      <c r="K10" s="19"/>
      <c r="L10" s="6" t="s">
        <v>15</v>
      </c>
    </row>
    <row r="11" spans="1:12" ht="159.75" hidden="1" customHeight="1" x14ac:dyDescent="0.35">
      <c r="A11" s="34">
        <f t="shared" ref="A11:A45" si="0">A10+1</f>
        <v>3</v>
      </c>
      <c r="B11" s="22" t="s">
        <v>38</v>
      </c>
      <c r="C11" s="6" t="s">
        <v>39</v>
      </c>
      <c r="D11" s="6"/>
      <c r="E11" s="13">
        <v>45784</v>
      </c>
      <c r="F11" s="6" t="s">
        <v>40</v>
      </c>
      <c r="G11" s="6" t="s">
        <v>41</v>
      </c>
      <c r="H11" s="6"/>
      <c r="I11" s="6" t="s">
        <v>42</v>
      </c>
      <c r="J11" s="17" t="s">
        <v>43</v>
      </c>
      <c r="K11" s="17"/>
      <c r="L11" s="6" t="s">
        <v>15</v>
      </c>
    </row>
    <row r="12" spans="1:12" ht="191.25" hidden="1" customHeight="1" x14ac:dyDescent="0.35">
      <c r="A12" s="34">
        <f t="shared" si="0"/>
        <v>4</v>
      </c>
      <c r="B12" s="22" t="s">
        <v>44</v>
      </c>
      <c r="C12" s="6" t="s">
        <v>45</v>
      </c>
      <c r="D12" s="6"/>
      <c r="E12" s="13">
        <v>45791</v>
      </c>
      <c r="F12" s="6" t="s">
        <v>46</v>
      </c>
      <c r="G12" s="6" t="s">
        <v>47</v>
      </c>
      <c r="H12" s="21" t="s">
        <v>48</v>
      </c>
      <c r="I12" s="21" t="s">
        <v>42</v>
      </c>
      <c r="J12" s="18" t="s">
        <v>49</v>
      </c>
      <c r="K12" s="18" t="s">
        <v>85</v>
      </c>
      <c r="L12" s="6" t="s">
        <v>15</v>
      </c>
    </row>
    <row r="13" spans="1:12" ht="240.75" hidden="1" customHeight="1" x14ac:dyDescent="0.35">
      <c r="A13" s="34">
        <f t="shared" si="0"/>
        <v>5</v>
      </c>
      <c r="B13" s="22" t="s">
        <v>50</v>
      </c>
      <c r="C13" s="6" t="s">
        <v>51</v>
      </c>
      <c r="D13" s="6"/>
      <c r="E13" s="13">
        <v>45792</v>
      </c>
      <c r="F13" s="6" t="s">
        <v>52</v>
      </c>
      <c r="G13" s="16" t="s">
        <v>53</v>
      </c>
      <c r="H13" s="6"/>
      <c r="I13" s="6" t="s">
        <v>48</v>
      </c>
      <c r="J13" s="17" t="s">
        <v>54</v>
      </c>
      <c r="K13" s="17"/>
      <c r="L13" s="6" t="s">
        <v>15</v>
      </c>
    </row>
    <row r="14" spans="1:12" ht="240.75" hidden="1" customHeight="1" x14ac:dyDescent="0.35">
      <c r="A14" s="34">
        <f t="shared" si="0"/>
        <v>6</v>
      </c>
      <c r="B14" s="22" t="s">
        <v>62</v>
      </c>
      <c r="C14" s="6" t="s">
        <v>63</v>
      </c>
      <c r="D14" s="6"/>
      <c r="E14" s="13">
        <v>45801</v>
      </c>
      <c r="F14" s="6" t="s">
        <v>64</v>
      </c>
      <c r="G14" s="6" t="s">
        <v>65</v>
      </c>
      <c r="H14" s="21" t="s">
        <v>30</v>
      </c>
      <c r="I14" s="21" t="s">
        <v>30</v>
      </c>
      <c r="J14" s="18" t="s">
        <v>66</v>
      </c>
      <c r="K14" s="18" t="s">
        <v>116</v>
      </c>
      <c r="L14" s="26" t="s">
        <v>15</v>
      </c>
    </row>
    <row r="15" spans="1:12" ht="240.75" hidden="1" customHeight="1" x14ac:dyDescent="0.35">
      <c r="A15" s="34">
        <f t="shared" si="0"/>
        <v>7</v>
      </c>
      <c r="B15" s="22" t="s">
        <v>67</v>
      </c>
      <c r="C15" s="6" t="s">
        <v>68</v>
      </c>
      <c r="D15" s="6"/>
      <c r="E15" s="13">
        <v>45801</v>
      </c>
      <c r="F15" s="6" t="s">
        <v>69</v>
      </c>
      <c r="G15" s="6" t="s">
        <v>70</v>
      </c>
      <c r="H15" s="21" t="s">
        <v>30</v>
      </c>
      <c r="I15" s="21" t="s">
        <v>48</v>
      </c>
      <c r="J15" s="18" t="s">
        <v>71</v>
      </c>
      <c r="K15" s="18" t="s">
        <v>117</v>
      </c>
      <c r="L15" s="6"/>
    </row>
    <row r="16" spans="1:12" ht="240.75" hidden="1" customHeight="1" x14ac:dyDescent="0.35">
      <c r="A16" s="34">
        <f t="shared" si="0"/>
        <v>8</v>
      </c>
      <c r="B16" s="37" t="s">
        <v>72</v>
      </c>
      <c r="C16" s="6" t="s">
        <v>73</v>
      </c>
      <c r="D16" s="6"/>
      <c r="E16" s="13">
        <v>45794</v>
      </c>
      <c r="F16" s="6" t="s">
        <v>74</v>
      </c>
      <c r="G16" s="6" t="s">
        <v>75</v>
      </c>
      <c r="H16" s="6"/>
      <c r="I16" s="6" t="s">
        <v>48</v>
      </c>
      <c r="J16" s="17" t="s">
        <v>76</v>
      </c>
      <c r="K16" s="17"/>
      <c r="L16" s="6"/>
    </row>
    <row r="17" spans="1:12" ht="240.75" hidden="1" customHeight="1" x14ac:dyDescent="0.35">
      <c r="A17" s="34">
        <f t="shared" si="0"/>
        <v>9</v>
      </c>
      <c r="B17" s="37" t="s">
        <v>77</v>
      </c>
      <c r="C17" s="6" t="s">
        <v>78</v>
      </c>
      <c r="D17" s="6"/>
      <c r="E17" s="13">
        <v>45794</v>
      </c>
      <c r="F17" s="6" t="s">
        <v>79</v>
      </c>
      <c r="G17" s="6" t="s">
        <v>75</v>
      </c>
      <c r="H17" s="6"/>
      <c r="I17" s="6" t="s">
        <v>48</v>
      </c>
      <c r="J17" s="17" t="s">
        <v>80</v>
      </c>
      <c r="K17" s="17"/>
      <c r="L17" s="6"/>
    </row>
    <row r="18" spans="1:12" ht="240.75" hidden="1" customHeight="1" x14ac:dyDescent="0.35">
      <c r="A18" s="34">
        <f t="shared" si="0"/>
        <v>10</v>
      </c>
      <c r="B18" s="22" t="s">
        <v>81</v>
      </c>
      <c r="C18" s="6"/>
      <c r="D18" s="6"/>
      <c r="E18" s="13">
        <v>45801</v>
      </c>
      <c r="F18" s="6" t="s">
        <v>84</v>
      </c>
      <c r="G18" s="6" t="s">
        <v>82</v>
      </c>
      <c r="H18" s="21" t="s">
        <v>48</v>
      </c>
      <c r="I18" s="21" t="s">
        <v>48</v>
      </c>
      <c r="J18" s="18" t="s">
        <v>83</v>
      </c>
      <c r="K18" s="18" t="s">
        <v>86</v>
      </c>
      <c r="L18" s="6"/>
    </row>
    <row r="19" spans="1:12" ht="240.75" hidden="1" customHeight="1" x14ac:dyDescent="0.35">
      <c r="A19" s="34">
        <f t="shared" si="0"/>
        <v>11</v>
      </c>
      <c r="B19" s="22" t="s">
        <v>87</v>
      </c>
      <c r="C19" s="23" t="s">
        <v>88</v>
      </c>
      <c r="D19" s="23"/>
      <c r="E19" s="24">
        <v>45810</v>
      </c>
      <c r="F19" s="23" t="s">
        <v>89</v>
      </c>
      <c r="G19" s="23" t="s">
        <v>90</v>
      </c>
      <c r="H19" s="21" t="s">
        <v>42</v>
      </c>
      <c r="I19" s="21" t="s">
        <v>207</v>
      </c>
      <c r="J19" s="18" t="s">
        <v>91</v>
      </c>
      <c r="K19" s="18" t="s">
        <v>219</v>
      </c>
      <c r="L19" s="6"/>
    </row>
    <row r="20" spans="1:12" ht="240.75" hidden="1" customHeight="1" x14ac:dyDescent="0.35">
      <c r="A20" s="34">
        <f t="shared" si="0"/>
        <v>12</v>
      </c>
      <c r="B20" s="26" t="s">
        <v>96</v>
      </c>
      <c r="C20" s="26" t="s">
        <v>97</v>
      </c>
      <c r="D20" s="26"/>
      <c r="E20" s="27">
        <v>45779</v>
      </c>
      <c r="F20" s="26" t="s">
        <v>98</v>
      </c>
      <c r="G20" s="26" t="s">
        <v>224</v>
      </c>
      <c r="H20" s="26"/>
      <c r="I20" s="26" t="s">
        <v>42</v>
      </c>
      <c r="J20" s="28" t="s">
        <v>100</v>
      </c>
      <c r="K20" s="17"/>
      <c r="L20" s="6"/>
    </row>
    <row r="21" spans="1:12" ht="240.75" hidden="1" customHeight="1" x14ac:dyDescent="0.35">
      <c r="A21" s="34">
        <f t="shared" si="0"/>
        <v>13</v>
      </c>
      <c r="B21" s="26" t="s">
        <v>114</v>
      </c>
      <c r="C21" s="26" t="s">
        <v>106</v>
      </c>
      <c r="D21" s="26"/>
      <c r="E21" s="27">
        <v>45822</v>
      </c>
      <c r="F21" s="26" t="s">
        <v>107</v>
      </c>
      <c r="G21" s="26" t="s">
        <v>108</v>
      </c>
      <c r="H21" s="26"/>
      <c r="I21" s="26" t="s">
        <v>48</v>
      </c>
      <c r="J21" s="28" t="s">
        <v>109</v>
      </c>
      <c r="K21" s="26"/>
      <c r="L21" s="26" t="s">
        <v>15</v>
      </c>
    </row>
    <row r="22" spans="1:12" ht="240.75" hidden="1" customHeight="1" x14ac:dyDescent="0.35">
      <c r="A22" s="34">
        <f t="shared" si="0"/>
        <v>14</v>
      </c>
      <c r="B22" s="26" t="s">
        <v>115</v>
      </c>
      <c r="C22" s="26" t="s">
        <v>110</v>
      </c>
      <c r="D22" s="26"/>
      <c r="E22" s="27">
        <v>45808</v>
      </c>
      <c r="F22" s="26" t="s">
        <v>111</v>
      </c>
      <c r="G22" s="26" t="s">
        <v>112</v>
      </c>
      <c r="H22" s="26"/>
      <c r="I22" s="26" t="s">
        <v>42</v>
      </c>
      <c r="J22" s="28" t="s">
        <v>113</v>
      </c>
      <c r="K22" s="26"/>
      <c r="L22" s="26" t="s">
        <v>15</v>
      </c>
    </row>
    <row r="23" spans="1:12" ht="240.75" hidden="1" customHeight="1" x14ac:dyDescent="0.35">
      <c r="A23" s="34">
        <f t="shared" si="0"/>
        <v>15</v>
      </c>
      <c r="B23" s="26" t="s">
        <v>118</v>
      </c>
      <c r="C23" s="26" t="s">
        <v>119</v>
      </c>
      <c r="D23" s="26"/>
      <c r="E23" s="27">
        <v>45785</v>
      </c>
      <c r="F23" s="26" t="s">
        <v>120</v>
      </c>
      <c r="G23" s="26" t="s">
        <v>121</v>
      </c>
      <c r="H23" s="26"/>
      <c r="I23" s="26" t="s">
        <v>48</v>
      </c>
      <c r="J23" s="28" t="s">
        <v>122</v>
      </c>
      <c r="K23" s="26"/>
      <c r="L23" s="26" t="s">
        <v>15</v>
      </c>
    </row>
    <row r="24" spans="1:12" ht="240.75" hidden="1" customHeight="1" x14ac:dyDescent="0.35">
      <c r="A24" s="34">
        <f t="shared" si="0"/>
        <v>16</v>
      </c>
      <c r="B24" s="26" t="s">
        <v>128</v>
      </c>
      <c r="C24" s="26" t="s">
        <v>124</v>
      </c>
      <c r="D24" s="26"/>
      <c r="E24" s="27">
        <v>45820</v>
      </c>
      <c r="F24" s="26" t="s">
        <v>125</v>
      </c>
      <c r="G24" s="26" t="s">
        <v>126</v>
      </c>
      <c r="H24" s="19" t="s">
        <v>30</v>
      </c>
      <c r="I24" s="19" t="s">
        <v>30</v>
      </c>
      <c r="J24" s="20" t="s">
        <v>127</v>
      </c>
      <c r="K24" s="19"/>
      <c r="L24" s="35" t="s">
        <v>15</v>
      </c>
    </row>
    <row r="25" spans="1:12" s="29" customFormat="1" ht="240.75" hidden="1" customHeight="1" x14ac:dyDescent="0.35">
      <c r="A25" s="34">
        <f t="shared" si="0"/>
        <v>17</v>
      </c>
      <c r="B25" s="30" t="s">
        <v>129</v>
      </c>
      <c r="C25" s="30" t="s">
        <v>130</v>
      </c>
      <c r="D25" s="30"/>
      <c r="E25" s="31">
        <v>45789</v>
      </c>
      <c r="F25" s="32" t="s">
        <v>131</v>
      </c>
      <c r="G25" s="30" t="s">
        <v>99</v>
      </c>
      <c r="H25" s="30"/>
      <c r="I25" s="35" t="s">
        <v>42</v>
      </c>
      <c r="J25" s="30" t="s">
        <v>132</v>
      </c>
      <c r="K25" s="30"/>
      <c r="L25" s="30" t="s">
        <v>15</v>
      </c>
    </row>
    <row r="26" spans="1:12" s="29" customFormat="1" ht="240.75" hidden="1" customHeight="1" x14ac:dyDescent="0.35">
      <c r="A26" s="34">
        <f t="shared" si="0"/>
        <v>18</v>
      </c>
      <c r="B26" s="35" t="s">
        <v>142</v>
      </c>
      <c r="C26" s="35" t="s">
        <v>143</v>
      </c>
      <c r="D26" s="35"/>
      <c r="E26" s="36">
        <v>45828</v>
      </c>
      <c r="F26" s="35" t="s">
        <v>144</v>
      </c>
      <c r="G26" s="35" t="s">
        <v>145</v>
      </c>
      <c r="H26" s="21" t="s">
        <v>48</v>
      </c>
      <c r="I26" s="21" t="s">
        <v>48</v>
      </c>
      <c r="J26" s="18" t="s">
        <v>218</v>
      </c>
      <c r="K26" s="21"/>
      <c r="L26" s="35" t="s">
        <v>15</v>
      </c>
    </row>
    <row r="27" spans="1:12" s="29" customFormat="1" ht="240.75" hidden="1" customHeight="1" x14ac:dyDescent="0.35">
      <c r="A27" s="34">
        <f t="shared" si="0"/>
        <v>19</v>
      </c>
      <c r="B27" s="22" t="s">
        <v>146</v>
      </c>
      <c r="C27" s="35" t="s">
        <v>133</v>
      </c>
      <c r="D27" s="35"/>
      <c r="E27" s="36">
        <v>45827</v>
      </c>
      <c r="F27" s="35" t="s">
        <v>147</v>
      </c>
      <c r="G27" s="35" t="s">
        <v>148</v>
      </c>
      <c r="H27" s="21" t="s">
        <v>48</v>
      </c>
      <c r="I27" s="21" t="s">
        <v>42</v>
      </c>
      <c r="J27" s="18" t="s">
        <v>149</v>
      </c>
      <c r="K27" s="21" t="s">
        <v>220</v>
      </c>
      <c r="L27" s="35" t="s">
        <v>15</v>
      </c>
    </row>
    <row r="28" spans="1:12" s="29" customFormat="1" ht="240.75" hidden="1" customHeight="1" x14ac:dyDescent="0.35">
      <c r="A28" s="34">
        <f t="shared" si="0"/>
        <v>20</v>
      </c>
      <c r="B28" s="35" t="s">
        <v>150</v>
      </c>
      <c r="C28" s="35" t="s">
        <v>73</v>
      </c>
      <c r="D28" s="35"/>
      <c r="E28" s="36">
        <v>45825</v>
      </c>
      <c r="F28" s="35" t="s">
        <v>151</v>
      </c>
      <c r="G28" s="35" t="s">
        <v>152</v>
      </c>
      <c r="H28" s="19" t="s">
        <v>168</v>
      </c>
      <c r="I28" s="19" t="s">
        <v>225</v>
      </c>
      <c r="J28" s="20" t="s">
        <v>153</v>
      </c>
      <c r="K28" s="19"/>
      <c r="L28" s="35" t="s">
        <v>15</v>
      </c>
    </row>
    <row r="29" spans="1:12" s="33" customFormat="1" ht="240.75" hidden="1" customHeight="1" x14ac:dyDescent="0.35">
      <c r="A29" s="34">
        <f t="shared" si="0"/>
        <v>21</v>
      </c>
      <c r="B29" s="35" t="s">
        <v>154</v>
      </c>
      <c r="C29" s="35" t="s">
        <v>155</v>
      </c>
      <c r="D29" s="35"/>
      <c r="E29" s="36">
        <v>45825</v>
      </c>
      <c r="F29" s="35" t="s">
        <v>156</v>
      </c>
      <c r="G29" s="35" t="s">
        <v>157</v>
      </c>
      <c r="H29" s="35" t="s">
        <v>42</v>
      </c>
      <c r="I29" s="35" t="s">
        <v>42</v>
      </c>
      <c r="J29" s="28" t="s">
        <v>161</v>
      </c>
      <c r="K29" s="35"/>
      <c r="L29" s="35" t="s">
        <v>15</v>
      </c>
    </row>
    <row r="30" spans="1:12" s="33" customFormat="1" ht="240.75" hidden="1" customHeight="1" x14ac:dyDescent="0.35">
      <c r="A30" s="34">
        <f t="shared" si="0"/>
        <v>22</v>
      </c>
      <c r="B30" s="35" t="s">
        <v>158</v>
      </c>
      <c r="C30" s="35" t="s">
        <v>159</v>
      </c>
      <c r="D30" s="35"/>
      <c r="E30" s="36">
        <v>45824</v>
      </c>
      <c r="F30" s="35" t="s">
        <v>160</v>
      </c>
      <c r="G30" s="35" t="s">
        <v>157</v>
      </c>
      <c r="H30" s="19" t="s">
        <v>48</v>
      </c>
      <c r="I30" s="19" t="s">
        <v>48</v>
      </c>
      <c r="J30" s="20" t="s">
        <v>222</v>
      </c>
      <c r="K30" s="19"/>
      <c r="L30" s="35" t="s">
        <v>15</v>
      </c>
    </row>
    <row r="31" spans="1:12" s="33" customFormat="1" ht="240.75" hidden="1" customHeight="1" x14ac:dyDescent="0.35">
      <c r="A31" s="34">
        <f t="shared" si="0"/>
        <v>23</v>
      </c>
      <c r="B31" s="35" t="s">
        <v>162</v>
      </c>
      <c r="C31" s="35" t="s">
        <v>163</v>
      </c>
      <c r="D31" s="35"/>
      <c r="E31" s="36">
        <v>45827</v>
      </c>
      <c r="F31" s="35" t="s">
        <v>164</v>
      </c>
      <c r="G31" s="35" t="s">
        <v>165</v>
      </c>
      <c r="H31" s="19" t="s">
        <v>48</v>
      </c>
      <c r="I31" s="19" t="s">
        <v>48</v>
      </c>
      <c r="J31" s="20" t="s">
        <v>166</v>
      </c>
      <c r="K31" s="19"/>
      <c r="L31" s="35" t="s">
        <v>15</v>
      </c>
    </row>
    <row r="32" spans="1:12" s="33" customFormat="1" ht="240.75" customHeight="1" x14ac:dyDescent="0.35">
      <c r="A32" s="34">
        <v>1</v>
      </c>
      <c r="B32" s="35" t="s">
        <v>232</v>
      </c>
      <c r="C32" s="35" t="s">
        <v>233</v>
      </c>
      <c r="D32" s="35"/>
      <c r="E32" s="36">
        <v>45960</v>
      </c>
      <c r="F32" s="35" t="s">
        <v>234</v>
      </c>
      <c r="G32" s="35" t="s">
        <v>235</v>
      </c>
      <c r="H32" s="37" t="s">
        <v>42</v>
      </c>
      <c r="I32" s="37" t="s">
        <v>42</v>
      </c>
      <c r="J32" s="28" t="s">
        <v>236</v>
      </c>
      <c r="K32" s="37"/>
      <c r="L32" s="35" t="s">
        <v>15</v>
      </c>
    </row>
    <row r="33" spans="1:12" s="33" customFormat="1" ht="240.75" hidden="1" customHeight="1" x14ac:dyDescent="0.35">
      <c r="A33" s="34">
        <f t="shared" si="0"/>
        <v>2</v>
      </c>
      <c r="B33" s="35" t="s">
        <v>169</v>
      </c>
      <c r="C33" s="35" t="s">
        <v>170</v>
      </c>
      <c r="D33" s="35"/>
      <c r="E33" s="36">
        <v>45826</v>
      </c>
      <c r="F33" s="35" t="s">
        <v>171</v>
      </c>
      <c r="G33" s="35" t="s">
        <v>172</v>
      </c>
      <c r="H33" s="19" t="s">
        <v>30</v>
      </c>
      <c r="I33" s="19" t="s">
        <v>30</v>
      </c>
      <c r="J33" s="20" t="s">
        <v>173</v>
      </c>
      <c r="K33" s="19"/>
      <c r="L33" s="35" t="s">
        <v>15</v>
      </c>
    </row>
    <row r="34" spans="1:12" s="33" customFormat="1" ht="240.75" hidden="1" customHeight="1" x14ac:dyDescent="0.35">
      <c r="A34" s="34">
        <f t="shared" si="0"/>
        <v>3</v>
      </c>
      <c r="B34" s="35" t="s">
        <v>221</v>
      </c>
      <c r="C34" s="35" t="s">
        <v>174</v>
      </c>
      <c r="D34" s="35"/>
      <c r="E34" s="36">
        <v>45831</v>
      </c>
      <c r="F34" s="35" t="s">
        <v>175</v>
      </c>
      <c r="G34" s="35" t="s">
        <v>176</v>
      </c>
      <c r="H34" s="35"/>
      <c r="I34" s="35" t="s">
        <v>42</v>
      </c>
      <c r="J34" s="28" t="s">
        <v>177</v>
      </c>
      <c r="K34" s="35"/>
      <c r="L34" s="35" t="s">
        <v>15</v>
      </c>
    </row>
    <row r="35" spans="1:12" s="33" customFormat="1" ht="240.75" hidden="1" customHeight="1" x14ac:dyDescent="0.35">
      <c r="A35" s="34">
        <f t="shared" si="0"/>
        <v>4</v>
      </c>
      <c r="B35" s="35" t="s">
        <v>178</v>
      </c>
      <c r="C35" s="35" t="s">
        <v>179</v>
      </c>
      <c r="D35" s="35"/>
      <c r="E35" s="36">
        <v>45833</v>
      </c>
      <c r="F35" s="35" t="s">
        <v>180</v>
      </c>
      <c r="G35" s="35" t="s">
        <v>181</v>
      </c>
      <c r="H35" s="19" t="s">
        <v>30</v>
      </c>
      <c r="I35" s="19" t="s">
        <v>30</v>
      </c>
      <c r="J35" s="20" t="s">
        <v>182</v>
      </c>
      <c r="K35" s="19"/>
      <c r="L35" s="35" t="s">
        <v>15</v>
      </c>
    </row>
    <row r="36" spans="1:12" s="33" customFormat="1" ht="240.75" hidden="1" customHeight="1" x14ac:dyDescent="0.35">
      <c r="A36" s="34">
        <f t="shared" si="0"/>
        <v>5</v>
      </c>
      <c r="B36" s="35" t="s">
        <v>183</v>
      </c>
      <c r="C36" s="35" t="s">
        <v>133</v>
      </c>
      <c r="D36" s="35"/>
      <c r="E36" s="36">
        <v>45825</v>
      </c>
      <c r="F36" s="35" t="s">
        <v>184</v>
      </c>
      <c r="G36" s="35" t="s">
        <v>152</v>
      </c>
      <c r="H36" s="19" t="s">
        <v>48</v>
      </c>
      <c r="I36" s="19" t="s">
        <v>48</v>
      </c>
      <c r="J36" s="20" t="s">
        <v>185</v>
      </c>
      <c r="K36" s="19"/>
      <c r="L36" s="35" t="s">
        <v>15</v>
      </c>
    </row>
    <row r="37" spans="1:12" s="33" customFormat="1" ht="240.75" hidden="1" customHeight="1" x14ac:dyDescent="0.35">
      <c r="A37" s="34">
        <f t="shared" si="0"/>
        <v>6</v>
      </c>
      <c r="B37" s="35" t="s">
        <v>186</v>
      </c>
      <c r="C37" s="35" t="s">
        <v>159</v>
      </c>
      <c r="D37" s="35"/>
      <c r="E37" s="36">
        <v>45833</v>
      </c>
      <c r="F37" s="35" t="s">
        <v>187</v>
      </c>
      <c r="G37" s="35" t="s">
        <v>188</v>
      </c>
      <c r="H37" s="19" t="s">
        <v>48</v>
      </c>
      <c r="I37" s="19" t="s">
        <v>48</v>
      </c>
      <c r="J37" s="20" t="s">
        <v>223</v>
      </c>
      <c r="K37" s="35"/>
      <c r="L37" s="35" t="s">
        <v>15</v>
      </c>
    </row>
    <row r="38" spans="1:12" s="33" customFormat="1" ht="240.75" hidden="1" customHeight="1" x14ac:dyDescent="0.35">
      <c r="A38" s="34">
        <f t="shared" si="0"/>
        <v>7</v>
      </c>
      <c r="B38" s="22" t="s">
        <v>193</v>
      </c>
      <c r="C38" s="35" t="s">
        <v>106</v>
      </c>
      <c r="D38" s="35"/>
      <c r="E38" s="36">
        <v>45820</v>
      </c>
      <c r="F38" s="35" t="s">
        <v>189</v>
      </c>
      <c r="G38" s="35" t="s">
        <v>190</v>
      </c>
      <c r="H38" s="21" t="s">
        <v>48</v>
      </c>
      <c r="I38" s="21" t="s">
        <v>42</v>
      </c>
      <c r="J38" s="18" t="s">
        <v>191</v>
      </c>
      <c r="K38" s="21" t="s">
        <v>192</v>
      </c>
      <c r="L38" s="35" t="s">
        <v>15</v>
      </c>
    </row>
    <row r="39" spans="1:12" s="33" customFormat="1" ht="240.75" hidden="1" customHeight="1" x14ac:dyDescent="0.35">
      <c r="A39" s="34">
        <f t="shared" si="0"/>
        <v>8</v>
      </c>
      <c r="B39" s="35" t="s">
        <v>194</v>
      </c>
      <c r="C39" s="35" t="s">
        <v>101</v>
      </c>
      <c r="D39" s="35"/>
      <c r="E39" s="36">
        <v>45832</v>
      </c>
      <c r="F39" s="35" t="s">
        <v>195</v>
      </c>
      <c r="G39" s="35" t="s">
        <v>148</v>
      </c>
      <c r="H39" s="19" t="s">
        <v>48</v>
      </c>
      <c r="I39" s="19" t="s">
        <v>48</v>
      </c>
      <c r="J39" s="20" t="s">
        <v>196</v>
      </c>
      <c r="K39" s="19"/>
      <c r="L39" s="35"/>
    </row>
    <row r="40" spans="1:12" s="33" customFormat="1" ht="240.75" hidden="1" customHeight="1" x14ac:dyDescent="0.35">
      <c r="A40" s="34">
        <f t="shared" si="0"/>
        <v>9</v>
      </c>
      <c r="B40" s="35" t="s">
        <v>197</v>
      </c>
      <c r="C40" s="35" t="s">
        <v>167</v>
      </c>
      <c r="D40" s="35"/>
      <c r="E40" s="36">
        <v>45828</v>
      </c>
      <c r="F40" s="35" t="s">
        <v>198</v>
      </c>
      <c r="G40" s="35" t="s">
        <v>145</v>
      </c>
      <c r="H40" s="19" t="s">
        <v>30</v>
      </c>
      <c r="I40" s="19" t="s">
        <v>30</v>
      </c>
      <c r="J40" s="20" t="s">
        <v>199</v>
      </c>
      <c r="K40" s="19"/>
      <c r="L40" s="35"/>
    </row>
    <row r="41" spans="1:12" s="33" customFormat="1" ht="240.75" hidden="1" customHeight="1" x14ac:dyDescent="0.35">
      <c r="A41" s="34">
        <f t="shared" si="0"/>
        <v>10</v>
      </c>
      <c r="B41" s="35" t="s">
        <v>200</v>
      </c>
      <c r="C41" s="35" t="s">
        <v>73</v>
      </c>
      <c r="D41" s="35"/>
      <c r="E41" s="36">
        <v>45779</v>
      </c>
      <c r="F41" s="35" t="s">
        <v>201</v>
      </c>
      <c r="G41" s="35" t="s">
        <v>165</v>
      </c>
      <c r="H41" s="19" t="s">
        <v>29</v>
      </c>
      <c r="I41" s="19" t="s">
        <v>48</v>
      </c>
      <c r="J41" s="20" t="s">
        <v>202</v>
      </c>
      <c r="K41" s="19"/>
      <c r="L41" s="35"/>
    </row>
    <row r="42" spans="1:12" s="33" customFormat="1" ht="240.75" hidden="1" customHeight="1" x14ac:dyDescent="0.35">
      <c r="A42" s="34">
        <f t="shared" si="0"/>
        <v>11</v>
      </c>
      <c r="B42" s="35" t="s">
        <v>203</v>
      </c>
      <c r="C42" s="35" t="s">
        <v>204</v>
      </c>
      <c r="D42" s="35"/>
      <c r="E42" s="36">
        <v>45826</v>
      </c>
      <c r="F42" s="35" t="s">
        <v>205</v>
      </c>
      <c r="G42" s="35" t="s">
        <v>206</v>
      </c>
      <c r="H42" s="35"/>
      <c r="I42" s="35" t="s">
        <v>207</v>
      </c>
      <c r="J42" s="28" t="s">
        <v>208</v>
      </c>
      <c r="K42" s="35"/>
      <c r="L42" s="35"/>
    </row>
    <row r="43" spans="1:12" s="33" customFormat="1" ht="240.75" hidden="1" customHeight="1" x14ac:dyDescent="0.35">
      <c r="A43" s="34">
        <f t="shared" si="0"/>
        <v>12</v>
      </c>
      <c r="B43" s="35" t="s">
        <v>209</v>
      </c>
      <c r="C43" s="35" t="s">
        <v>210</v>
      </c>
      <c r="D43" s="35"/>
      <c r="E43" s="36">
        <v>45834</v>
      </c>
      <c r="F43" s="35" t="s">
        <v>211</v>
      </c>
      <c r="G43" s="35" t="s">
        <v>212</v>
      </c>
      <c r="H43" s="19" t="s">
        <v>168</v>
      </c>
      <c r="I43" s="19" t="s">
        <v>225</v>
      </c>
      <c r="J43" s="20" t="s">
        <v>213</v>
      </c>
      <c r="K43" s="19"/>
      <c r="L43" s="35"/>
    </row>
    <row r="44" spans="1:12" s="33" customFormat="1" ht="240.75" hidden="1" customHeight="1" x14ac:dyDescent="0.35">
      <c r="A44" s="34">
        <f t="shared" si="0"/>
        <v>13</v>
      </c>
      <c r="B44" s="37" t="s">
        <v>214</v>
      </c>
      <c r="C44" s="37" t="s">
        <v>73</v>
      </c>
      <c r="D44" s="37"/>
      <c r="E44" s="38">
        <v>45794</v>
      </c>
      <c r="F44" s="37" t="s">
        <v>215</v>
      </c>
      <c r="G44" s="37" t="s">
        <v>216</v>
      </c>
      <c r="H44" s="21" t="s">
        <v>30</v>
      </c>
      <c r="I44" s="21" t="s">
        <v>48</v>
      </c>
      <c r="J44" s="18" t="s">
        <v>217</v>
      </c>
      <c r="K44" s="21"/>
      <c r="L44" s="37" t="s">
        <v>15</v>
      </c>
    </row>
    <row r="45" spans="1:12" ht="134" hidden="1" customHeight="1" x14ac:dyDescent="0.35">
      <c r="A45" s="34">
        <v>2</v>
      </c>
      <c r="B45" s="37" t="s">
        <v>226</v>
      </c>
      <c r="C45" s="37" t="s">
        <v>227</v>
      </c>
      <c r="D45" s="37"/>
      <c r="E45" s="38">
        <v>45668</v>
      </c>
      <c r="F45" s="37" t="s">
        <v>229</v>
      </c>
      <c r="G45" s="37" t="s">
        <v>230</v>
      </c>
      <c r="H45" s="37"/>
      <c r="I45" s="32" t="s">
        <v>231</v>
      </c>
      <c r="J45" s="28" t="s">
        <v>228</v>
      </c>
      <c r="K45" s="37"/>
      <c r="L45" s="37" t="s">
        <v>15</v>
      </c>
    </row>
    <row r="46" spans="1:12" x14ac:dyDescent="0.35">
      <c r="A46" s="15"/>
      <c r="B46"/>
      <c r="C46" s="3"/>
      <c r="D46" s="1"/>
      <c r="E46" s="1"/>
      <c r="F46" s="1"/>
      <c r="G46" s="1"/>
      <c r="I46"/>
      <c r="J46"/>
      <c r="K46"/>
      <c r="L46"/>
    </row>
    <row r="47" spans="1:12" x14ac:dyDescent="0.35">
      <c r="A47" s="15"/>
      <c r="B47"/>
      <c r="C47" s="3"/>
      <c r="D47" s="1"/>
      <c r="E47" s="1"/>
      <c r="F47" s="1"/>
      <c r="G47" s="1"/>
      <c r="I47"/>
      <c r="J47"/>
      <c r="K47"/>
      <c r="L47"/>
    </row>
    <row r="48" spans="1:12" x14ac:dyDescent="0.35">
      <c r="A48" s="15"/>
      <c r="B48"/>
      <c r="C48" s="3"/>
      <c r="D48" s="1"/>
      <c r="E48" s="1"/>
      <c r="F48" s="1"/>
      <c r="G48" s="1"/>
      <c r="I48"/>
      <c r="J48"/>
      <c r="K48"/>
      <c r="L48"/>
    </row>
    <row r="49" spans="1:12" x14ac:dyDescent="0.35">
      <c r="A49" s="15"/>
      <c r="B49"/>
      <c r="C49" s="3"/>
      <c r="D49" s="1"/>
      <c r="E49" s="1"/>
      <c r="F49" s="1"/>
      <c r="G49" s="1"/>
      <c r="I49"/>
      <c r="J49"/>
      <c r="K49"/>
      <c r="L49"/>
    </row>
    <row r="50" spans="1:12" x14ac:dyDescent="0.35">
      <c r="A50" s="15"/>
      <c r="B50"/>
      <c r="C50" s="3"/>
      <c r="D50" s="1"/>
      <c r="E50" s="1"/>
      <c r="F50" s="1"/>
      <c r="G50" s="1"/>
      <c r="I50"/>
      <c r="J50"/>
      <c r="K50"/>
      <c r="L50"/>
    </row>
    <row r="51" spans="1:12" x14ac:dyDescent="0.35">
      <c r="A51" s="15"/>
      <c r="B51"/>
      <c r="C51" s="3"/>
      <c r="D51" s="1"/>
      <c r="E51" s="1"/>
      <c r="F51" s="1"/>
      <c r="G51" s="1"/>
      <c r="I51"/>
      <c r="J51"/>
      <c r="K51"/>
      <c r="L51"/>
    </row>
    <row r="52" spans="1:12" x14ac:dyDescent="0.35">
      <c r="A52" s="15"/>
      <c r="B52"/>
      <c r="C52" s="3"/>
      <c r="D52" s="1"/>
      <c r="E52" s="1"/>
      <c r="F52" s="1"/>
      <c r="G52" s="1"/>
      <c r="I52"/>
      <c r="J52"/>
      <c r="K52"/>
      <c r="L52"/>
    </row>
    <row r="53" spans="1:12" x14ac:dyDescent="0.35">
      <c r="A53" s="15"/>
      <c r="B53"/>
      <c r="C53" s="3"/>
      <c r="D53" s="1"/>
      <c r="E53" s="1"/>
      <c r="F53" s="1"/>
      <c r="G53" s="1"/>
      <c r="I53"/>
      <c r="J53"/>
      <c r="K53"/>
      <c r="L53"/>
    </row>
    <row r="54" spans="1:12" x14ac:dyDescent="0.35">
      <c r="A54" s="15"/>
      <c r="B54"/>
      <c r="C54" s="3"/>
      <c r="D54" s="1"/>
      <c r="E54" s="1"/>
      <c r="F54" s="1"/>
      <c r="G54" s="1"/>
      <c r="I54"/>
      <c r="J54"/>
      <c r="K54"/>
      <c r="L54"/>
    </row>
    <row r="55" spans="1:12" x14ac:dyDescent="0.35">
      <c r="A55" s="15"/>
      <c r="B55"/>
      <c r="C55" s="3"/>
      <c r="D55" s="1"/>
      <c r="E55" s="1"/>
      <c r="F55" s="1"/>
      <c r="G55" s="1"/>
      <c r="I55"/>
      <c r="J55"/>
      <c r="K55"/>
      <c r="L55"/>
    </row>
  </sheetData>
  <autoFilter ref="I7:I44" xr:uid="{6438AEF6-338D-4AE1-87C7-099549821451}">
    <filterColumn colId="0">
      <filters>
        <filter val="P5"/>
      </filters>
    </filterColumn>
  </autoFilter>
  <mergeCells count="20">
    <mergeCell ref="A2:C2"/>
    <mergeCell ref="A4:C4"/>
    <mergeCell ref="A3:C3"/>
    <mergeCell ref="D2:L2"/>
    <mergeCell ref="D3:L3"/>
    <mergeCell ref="D4:L4"/>
    <mergeCell ref="L7:L8"/>
    <mergeCell ref="E6:L6"/>
    <mergeCell ref="H7:H8"/>
    <mergeCell ref="F7:F8"/>
    <mergeCell ref="G7:G8"/>
    <mergeCell ref="J7:J8"/>
    <mergeCell ref="I7:I8"/>
    <mergeCell ref="K7:K8"/>
    <mergeCell ref="A6:A8"/>
    <mergeCell ref="B6:D6"/>
    <mergeCell ref="B7:B8"/>
    <mergeCell ref="D7:D8"/>
    <mergeCell ref="E7:E8"/>
    <mergeCell ref="C7:C8"/>
  </mergeCells>
  <pageMargins left="0.7" right="0.7" top="0.75" bottom="0.75" header="0.3" footer="0.3"/>
  <pageSetup paperSize="9" scale="9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D63B4E-8B54-48E6-984F-004F68070EF1}">
  <dimension ref="A2:L27"/>
  <sheetViews>
    <sheetView topLeftCell="C12" zoomScale="70" zoomScaleNormal="70" workbookViewId="0">
      <selection activeCell="A12" sqref="A12:A13"/>
    </sheetView>
  </sheetViews>
  <sheetFormatPr defaultRowHeight="14.5" x14ac:dyDescent="0.35"/>
  <cols>
    <col min="1" max="1" width="7" style="2" customWidth="1"/>
    <col min="2" max="2" width="22.26953125" style="4" customWidth="1"/>
    <col min="3" max="3" width="17.26953125" customWidth="1"/>
    <col min="4" max="4" width="18.1796875" customWidth="1"/>
    <col min="5" max="5" width="20.54296875" style="15" customWidth="1"/>
    <col min="6" max="6" width="61.7265625" customWidth="1"/>
    <col min="7" max="7" width="23.453125" style="3" customWidth="1"/>
    <col min="8" max="8" width="19" style="1" customWidth="1"/>
    <col min="9" max="9" width="29.81640625" style="1" customWidth="1"/>
    <col min="10" max="11" width="32.81640625" style="1" customWidth="1"/>
    <col min="12" max="12" width="30" style="1" customWidth="1"/>
  </cols>
  <sheetData>
    <row r="2" spans="1:12" ht="15.5" x14ac:dyDescent="0.35">
      <c r="A2" s="51" t="s">
        <v>10</v>
      </c>
      <c r="B2" s="52"/>
      <c r="C2" s="53"/>
      <c r="D2" s="57" t="s">
        <v>13</v>
      </c>
      <c r="E2" s="57"/>
      <c r="F2" s="57"/>
      <c r="G2" s="57"/>
      <c r="H2" s="57"/>
      <c r="I2" s="57"/>
      <c r="J2" s="57"/>
      <c r="K2" s="57"/>
      <c r="L2" s="57"/>
    </row>
    <row r="3" spans="1:12" ht="15.5" x14ac:dyDescent="0.35">
      <c r="A3" s="54" t="s">
        <v>11</v>
      </c>
      <c r="B3" s="55"/>
      <c r="C3" s="56"/>
      <c r="D3" s="58" t="s">
        <v>25</v>
      </c>
      <c r="E3" s="58"/>
      <c r="F3" s="58"/>
      <c r="G3" s="58"/>
      <c r="H3" s="58"/>
      <c r="I3" s="58"/>
      <c r="J3" s="58"/>
      <c r="K3" s="58"/>
      <c r="L3" s="58"/>
    </row>
    <row r="4" spans="1:12" ht="19.5" customHeight="1" x14ac:dyDescent="0.35">
      <c r="A4" s="54" t="s">
        <v>12</v>
      </c>
      <c r="B4" s="55"/>
      <c r="C4" s="56"/>
      <c r="D4" s="58" t="s">
        <v>22</v>
      </c>
      <c r="E4" s="58"/>
      <c r="F4" s="58"/>
      <c r="G4" s="58"/>
      <c r="H4" s="58"/>
      <c r="I4" s="58"/>
      <c r="J4" s="58"/>
      <c r="K4" s="58"/>
      <c r="L4" s="58"/>
    </row>
    <row r="5" spans="1:12" ht="15" thickBot="1" x14ac:dyDescent="0.4">
      <c r="D5" s="1"/>
      <c r="E5" s="12"/>
      <c r="F5" s="1"/>
      <c r="G5" s="1"/>
    </row>
    <row r="6" spans="1:12" ht="15" x14ac:dyDescent="0.35">
      <c r="A6" s="39" t="s">
        <v>0</v>
      </c>
      <c r="B6" s="41" t="s">
        <v>1</v>
      </c>
      <c r="C6" s="41"/>
      <c r="D6" s="41"/>
      <c r="E6" s="41" t="s">
        <v>2</v>
      </c>
      <c r="F6" s="41"/>
      <c r="G6" s="41"/>
      <c r="H6" s="41"/>
      <c r="I6" s="41"/>
      <c r="J6" s="41"/>
      <c r="K6" s="45"/>
      <c r="L6" s="46"/>
    </row>
    <row r="7" spans="1:12" ht="15.75" customHeight="1" x14ac:dyDescent="0.35">
      <c r="A7" s="40"/>
      <c r="B7" s="42" t="s">
        <v>3</v>
      </c>
      <c r="C7" s="42" t="s">
        <v>5</v>
      </c>
      <c r="D7" s="42" t="s">
        <v>4</v>
      </c>
      <c r="E7" s="43" t="s">
        <v>6</v>
      </c>
      <c r="F7" s="48" t="s">
        <v>26</v>
      </c>
      <c r="G7" s="47" t="s">
        <v>8</v>
      </c>
      <c r="H7" s="47" t="s">
        <v>55</v>
      </c>
      <c r="I7" s="47" t="s">
        <v>9</v>
      </c>
      <c r="J7" s="44" t="s">
        <v>7</v>
      </c>
      <c r="K7" s="49" t="s">
        <v>61</v>
      </c>
      <c r="L7" s="44" t="s">
        <v>14</v>
      </c>
    </row>
    <row r="8" spans="1:12" ht="16.5" customHeight="1" x14ac:dyDescent="0.35">
      <c r="A8" s="40"/>
      <c r="B8" s="42"/>
      <c r="C8" s="42"/>
      <c r="D8" s="42"/>
      <c r="E8" s="43"/>
      <c r="F8" s="48"/>
      <c r="G8" s="47"/>
      <c r="H8" s="42"/>
      <c r="I8" s="47"/>
      <c r="J8" s="44"/>
      <c r="K8" s="50"/>
      <c r="L8" s="44"/>
    </row>
    <row r="9" spans="1:12" ht="195" customHeight="1" x14ac:dyDescent="0.35">
      <c r="A9" s="5">
        <v>1</v>
      </c>
      <c r="B9" s="6" t="s">
        <v>56</v>
      </c>
      <c r="C9" s="6" t="s">
        <v>57</v>
      </c>
      <c r="D9" s="6"/>
      <c r="E9" s="13">
        <v>45801</v>
      </c>
      <c r="F9" s="6" t="s">
        <v>58</v>
      </c>
      <c r="G9" s="16" t="s">
        <v>59</v>
      </c>
      <c r="H9" s="6"/>
      <c r="I9" s="6" t="s">
        <v>30</v>
      </c>
      <c r="J9" s="17" t="s">
        <v>60</v>
      </c>
      <c r="K9" s="6"/>
      <c r="L9" s="6" t="s">
        <v>15</v>
      </c>
    </row>
    <row r="10" spans="1:12" ht="208.5" customHeight="1" x14ac:dyDescent="0.35">
      <c r="A10" s="5">
        <f>A9+1</f>
        <v>2</v>
      </c>
      <c r="B10" s="26" t="s">
        <v>95</v>
      </c>
      <c r="C10" s="26" t="s">
        <v>88</v>
      </c>
      <c r="D10" s="26"/>
      <c r="E10" s="27">
        <v>45810</v>
      </c>
      <c r="F10" s="26" t="s">
        <v>92</v>
      </c>
      <c r="G10" s="26" t="s">
        <v>93</v>
      </c>
      <c r="H10" s="26"/>
      <c r="I10" s="26" t="s">
        <v>42</v>
      </c>
      <c r="J10" s="28" t="s">
        <v>94</v>
      </c>
      <c r="K10" s="6"/>
      <c r="L10" s="6"/>
    </row>
    <row r="11" spans="1:12" ht="159.75" customHeight="1" x14ac:dyDescent="0.35">
      <c r="A11" s="25">
        <f>A10+1</f>
        <v>3</v>
      </c>
      <c r="B11" s="26" t="s">
        <v>105</v>
      </c>
      <c r="C11" s="26" t="s">
        <v>101</v>
      </c>
      <c r="D11" s="26"/>
      <c r="E11" s="27">
        <v>45779</v>
      </c>
      <c r="F11" s="26" t="s">
        <v>102</v>
      </c>
      <c r="G11" s="26" t="s">
        <v>103</v>
      </c>
      <c r="H11" s="21"/>
      <c r="I11" s="21" t="s">
        <v>48</v>
      </c>
      <c r="J11" s="18" t="s">
        <v>104</v>
      </c>
      <c r="K11" s="17"/>
      <c r="L11" s="6"/>
    </row>
    <row r="12" spans="1:12" ht="191.25" customHeight="1" x14ac:dyDescent="0.35">
      <c r="A12" s="34">
        <f>A11+1</f>
        <v>4</v>
      </c>
      <c r="B12" s="35" t="s">
        <v>141</v>
      </c>
      <c r="C12" s="35" t="s">
        <v>133</v>
      </c>
      <c r="D12" s="35"/>
      <c r="E12" s="36">
        <v>45789</v>
      </c>
      <c r="F12" s="35" t="s">
        <v>134</v>
      </c>
      <c r="G12" s="35" t="s">
        <v>135</v>
      </c>
      <c r="H12" s="35"/>
      <c r="I12" s="35" t="s">
        <v>30</v>
      </c>
      <c r="J12" s="35" t="s">
        <v>136</v>
      </c>
      <c r="K12" s="35" t="s">
        <v>15</v>
      </c>
      <c r="L12" s="6"/>
    </row>
    <row r="13" spans="1:12" ht="240.75" customHeight="1" x14ac:dyDescent="0.35">
      <c r="A13" s="34">
        <f>A12+1</f>
        <v>5</v>
      </c>
      <c r="B13" s="35" t="s">
        <v>137</v>
      </c>
      <c r="C13" s="35" t="s">
        <v>119</v>
      </c>
      <c r="D13" s="35"/>
      <c r="E13" s="36">
        <v>45820</v>
      </c>
      <c r="F13" s="35" t="s">
        <v>138</v>
      </c>
      <c r="G13" s="35" t="s">
        <v>139</v>
      </c>
      <c r="H13" s="35"/>
      <c r="I13" s="35" t="s">
        <v>48</v>
      </c>
      <c r="J13" s="28" t="s">
        <v>140</v>
      </c>
      <c r="K13" s="35" t="s">
        <v>15</v>
      </c>
      <c r="L13" s="6"/>
    </row>
    <row r="14" spans="1:12" ht="240.75" customHeight="1" x14ac:dyDescent="0.35">
      <c r="A14" s="5"/>
      <c r="B14" s="6"/>
      <c r="C14" s="6"/>
      <c r="D14" s="6"/>
      <c r="E14" s="13"/>
      <c r="F14" s="6"/>
      <c r="G14" s="16"/>
      <c r="H14" s="6"/>
      <c r="I14" s="6"/>
      <c r="J14" s="17"/>
      <c r="K14" s="17"/>
      <c r="L14" s="6"/>
    </row>
    <row r="15" spans="1:12" ht="240.75" customHeight="1" x14ac:dyDescent="0.35">
      <c r="A15" s="5"/>
      <c r="B15" s="6"/>
      <c r="C15" s="6"/>
      <c r="D15" s="6"/>
      <c r="E15" s="13"/>
      <c r="F15" s="6"/>
      <c r="G15" s="16"/>
      <c r="H15" s="6"/>
      <c r="I15" s="6"/>
      <c r="J15" s="17"/>
      <c r="K15" s="17"/>
      <c r="L15" s="6"/>
    </row>
    <row r="16" spans="1:12" ht="240.75" customHeight="1" x14ac:dyDescent="0.35">
      <c r="A16" s="5"/>
      <c r="B16" s="6"/>
      <c r="C16" s="6"/>
      <c r="D16" s="6"/>
      <c r="E16" s="13"/>
      <c r="F16" s="6"/>
      <c r="G16" s="16"/>
      <c r="H16" s="6"/>
      <c r="I16" s="6"/>
      <c r="J16" s="17"/>
      <c r="K16" s="17"/>
      <c r="L16" s="6"/>
    </row>
    <row r="17" spans="1:12" ht="144.75" customHeight="1" x14ac:dyDescent="0.35">
      <c r="A17" s="5">
        <f t="shared" ref="A17" si="0">A13+1</f>
        <v>6</v>
      </c>
      <c r="B17" s="6"/>
      <c r="C17" s="6"/>
      <c r="D17" s="6"/>
      <c r="E17" s="14"/>
      <c r="F17" s="8"/>
      <c r="G17" s="16"/>
      <c r="H17" s="8"/>
      <c r="I17" s="8"/>
      <c r="J17" s="9"/>
      <c r="K17" s="9"/>
      <c r="L17" s="6" t="s">
        <v>15</v>
      </c>
    </row>
    <row r="19" spans="1:12" x14ac:dyDescent="0.35">
      <c r="B19" s="7"/>
    </row>
    <row r="20" spans="1:12" x14ac:dyDescent="0.35">
      <c r="B20" s="4" t="s">
        <v>17</v>
      </c>
    </row>
    <row r="21" spans="1:12" x14ac:dyDescent="0.35">
      <c r="B21" s="4" t="s">
        <v>16</v>
      </c>
    </row>
    <row r="22" spans="1:12" x14ac:dyDescent="0.35">
      <c r="B22" s="4" t="s">
        <v>18</v>
      </c>
    </row>
    <row r="23" spans="1:12" x14ac:dyDescent="0.35">
      <c r="B23" s="4" t="s">
        <v>19</v>
      </c>
    </row>
    <row r="24" spans="1:12" x14ac:dyDescent="0.35">
      <c r="B24" s="4" t="s">
        <v>20</v>
      </c>
    </row>
    <row r="25" spans="1:12" x14ac:dyDescent="0.35">
      <c r="B25" s="4" t="s">
        <v>21</v>
      </c>
    </row>
    <row r="26" spans="1:12" x14ac:dyDescent="0.35">
      <c r="B26" s="4" t="s">
        <v>23</v>
      </c>
    </row>
    <row r="27" spans="1:12" x14ac:dyDescent="0.35">
      <c r="B27" s="10" t="s">
        <v>24</v>
      </c>
      <c r="C27" s="11"/>
    </row>
  </sheetData>
  <mergeCells count="20">
    <mergeCell ref="A2:C2"/>
    <mergeCell ref="D2:L2"/>
    <mergeCell ref="A3:C3"/>
    <mergeCell ref="D3:L3"/>
    <mergeCell ref="A4:C4"/>
    <mergeCell ref="D4:L4"/>
    <mergeCell ref="I7:I8"/>
    <mergeCell ref="J7:J8"/>
    <mergeCell ref="K7:K8"/>
    <mergeCell ref="L7:L8"/>
    <mergeCell ref="A6:A8"/>
    <mergeCell ref="B6:D6"/>
    <mergeCell ref="E6:L6"/>
    <mergeCell ref="B7:B8"/>
    <mergeCell ref="C7:C8"/>
    <mergeCell ref="D7:D8"/>
    <mergeCell ref="E7:E8"/>
    <mergeCell ref="F7:F8"/>
    <mergeCell ref="G7:G8"/>
    <mergeCell ref="H7:H8"/>
  </mergeCells>
  <pageMargins left="0.7" right="0.7" top="0.75" bottom="0.75" header="0.3" footer="0.3"/>
  <pageSetup paperSize="9" scale="7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Pekerja</vt:lpstr>
      <vt:lpstr>Keluarga Pekerja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2025-12-10T02:42:13Z</dcterms:modified>
</cp:coreProperties>
</file>