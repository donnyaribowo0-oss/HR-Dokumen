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sil (otomatis)" sheetId="1" r:id="rId5"/>
    <sheet state="visible" name="Data" sheetId="2" r:id="rId6"/>
    <sheet state="visible" name="Guide" sheetId="3" r:id="rId7"/>
  </sheets>
  <definedNames/>
  <calcPr/>
</workbook>
</file>

<file path=xl/sharedStrings.xml><?xml version="1.0" encoding="utf-8"?>
<sst xmlns="http://schemas.openxmlformats.org/spreadsheetml/2006/main" count="87" uniqueCount="63">
  <si>
    <t>FIRING DECISION MATRIX (Red Flag Based)</t>
  </si>
  <si>
    <t>Gunakan matrix ini untuk menentukan apakah karyawan perlu dilanjutkan, dibina, atau di-firing</t>
  </si>
  <si>
    <t>Total Skor</t>
  </si>
  <si>
    <t>Status</t>
  </si>
  <si>
    <t>Action</t>
  </si>
  <si>
    <t>Hasil Penilaian</t>
  </si>
  <si>
    <t>0 – 4</t>
  </si>
  <si>
    <t>✅ Aman</t>
  </si>
  <si>
    <t>Monitor</t>
  </si>
  <si>
    <t>Nama</t>
  </si>
  <si>
    <t>5 – 9</t>
  </si>
  <si>
    <t>⚠️ Warning</t>
  </si>
  <si>
    <t>Perlu pembinaan</t>
  </si>
  <si>
    <t>Skor Red Flag</t>
  </si>
  <si>
    <t>10 – 14</t>
  </si>
  <si>
    <t>❗️High Risk</t>
  </si>
  <si>
    <t>SP / evaluasi serius</t>
  </si>
  <si>
    <t>Kategori</t>
  </si>
  <si>
    <t>≥15</t>
  </si>
  <si>
    <t>❌ Critical</t>
  </si>
  <si>
    <t>Siap Exit</t>
  </si>
  <si>
    <t>REKOMENDASI KEPUTUSAN</t>
  </si>
  <si>
    <t>Red Flag Bar</t>
  </si>
  <si>
    <t>Karyawan:</t>
  </si>
  <si>
    <t>Andi</t>
  </si>
  <si>
    <t>No</t>
  </si>
  <si>
    <t>Red Flag</t>
  </si>
  <si>
    <t>Skor</t>
  </si>
  <si>
    <t>Centang (Checkbox)</t>
  </si>
  <si>
    <t>Disiplin</t>
  </si>
  <si>
    <t>Sering telat</t>
  </si>
  <si>
    <t>Sering izin mendadak</t>
  </si>
  <si>
    <t>Absen tanpa kabar</t>
  </si>
  <si>
    <t>Performa</t>
  </si>
  <si>
    <t>Tidak mencapai target</t>
  </si>
  <si>
    <t>Banyak kesalahan kerja</t>
  </si>
  <si>
    <t>Tidak teliti</t>
  </si>
  <si>
    <t>Attitude</t>
  </si>
  <si>
    <t>Sulit diatur</t>
  </si>
  <si>
    <t>Menyalahkan tim</t>
  </si>
  <si>
    <t>Tidak mau menerima feedback</t>
  </si>
  <si>
    <t>Sering defensif</t>
  </si>
  <si>
    <t>Toxic</t>
  </si>
  <si>
    <t>Mengeluh berlebihan</t>
  </si>
  <si>
    <t>Membawa energi negatif</t>
  </si>
  <si>
    <t>Mengganggu tim</t>
  </si>
  <si>
    <t>Tidak respect ke atasan</t>
  </si>
  <si>
    <t>Growth</t>
  </si>
  <si>
    <t>Tidak ada improvement</t>
  </si>
  <si>
    <t>Tidak mau belajar</t>
  </si>
  <si>
    <t>Mengulang kesalahan yang sama</t>
  </si>
  <si>
    <t>Total Skor Red Flag</t>
  </si>
  <si>
    <t>Decision &gt;&gt;</t>
  </si>
  <si>
    <t>Aman</t>
  </si>
  <si>
    <t>Warning</t>
  </si>
  <si>
    <t>High Risk</t>
  </si>
  <si>
    <t>Critical</t>
  </si>
  <si>
    <t>Cara menggunakan:</t>
  </si>
  <si>
    <t>Baca setiap red flag</t>
  </si>
  <si>
    <t>Centang jika terjadi pada karyawan</t>
  </si>
  <si>
    <t>Lihat total skor</t>
  </si>
  <si>
    <t>Ikuti rekomendasi sistem</t>
  </si>
  <si>
    <t>Cross-check dengan Decision Matrix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</si>
</sst>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9.0"/>
      <color rgb="FFFFFFFF"/>
      <name val="Arial"/>
      <scheme val="minor"/>
    </font>
    <font>
      <color theme="1"/>
      <name val="Arial"/>
      <scheme val="minor"/>
    </font>
    <font>
      <color rgb="FF6B728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sz val="7.0"/>
      <color theme="1"/>
      <name val="Arial"/>
      <scheme val="minor"/>
    </font>
    <font>
      <b/>
      <sz val="15.0"/>
      <color theme="1"/>
      <name val="Arial"/>
      <scheme val="minor"/>
    </font>
    <font>
      <sz val="8.0"/>
      <color theme="1"/>
      <name val="Arial"/>
      <scheme val="minor"/>
    </font>
    <font/>
    <font>
      <b/>
      <color rgb="FF1F1F1F"/>
      <name val="&quot;Google Sans Text&quot;"/>
    </font>
    <font>
      <color rgb="FF1F1F1F"/>
      <name val="&quot;Google Sans Text&quot;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073763"/>
        <bgColor rgb="FF073763"/>
      </patternFill>
    </fill>
    <fill>
      <patternFill patternType="solid">
        <fgColor rgb="FF434343"/>
        <bgColor rgb="FF434343"/>
      </patternFill>
    </fill>
    <fill>
      <patternFill patternType="solid">
        <fgColor rgb="FF38761D"/>
        <bgColor rgb="FF38761D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4" fontId="6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5" fontId="6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6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7" fontId="6" numFmtId="0" xfId="0" applyAlignment="1" applyFill="1" applyFont="1">
      <alignment horizontal="center" readingOrder="0" vertical="center"/>
    </xf>
    <xf borderId="0" fillId="8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2" fillId="0" fontId="10" numFmtId="0" xfId="0" applyBorder="1" applyFont="1"/>
    <xf borderId="0" fillId="0" fontId="11" numFmtId="0" xfId="0" applyAlignment="1" applyFont="1">
      <alignment readingOrder="0" vertical="center"/>
    </xf>
    <xf borderId="0" fillId="9" fontId="11" numFmtId="0" xfId="0" applyAlignment="1" applyFill="1" applyFont="1">
      <alignment readingOrder="0" vertical="center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center" readingOrder="0" vertical="center"/>
    </xf>
    <xf borderId="0" fillId="9" fontId="1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FF9900"/>
          <bgColor rgb="FFFF9900"/>
        </patternFill>
      </fill>
      <border/>
    </dxf>
    <dxf>
      <font>
        <b/>
        <color rgb="FFFFFFFF"/>
      </font>
      <fill>
        <patternFill patternType="solid">
          <fgColor rgb="FFCC0000"/>
          <bgColor rgb="FFCC0000"/>
        </patternFill>
      </fill>
      <border/>
    </dxf>
    <dxf>
      <font>
        <b/>
        <color rgb="FF000000"/>
      </font>
      <fill>
        <patternFill patternType="solid">
          <fgColor rgb="FFFFD966"/>
          <bgColor rgb="FFFFD966"/>
        </patternFill>
      </fill>
      <border/>
    </dxf>
    <dxf>
      <font>
        <b/>
        <color rgb="FFFFFFFF"/>
      </font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18.63"/>
    <col customWidth="1" min="5" max="5" width="14.25"/>
    <col customWidth="1" min="6" max="6" width="23.25"/>
    <col customWidth="1" min="7" max="7" width="16.13"/>
  </cols>
  <sheetData>
    <row r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4" t="s">
        <v>1</v>
      </c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9.25" customHeight="1">
      <c r="A4" s="5" t="s">
        <v>2</v>
      </c>
      <c r="B4" s="6" t="s">
        <v>3</v>
      </c>
      <c r="C4" s="6" t="s">
        <v>4</v>
      </c>
      <c r="D4" s="7"/>
      <c r="E4" s="8" t="s">
        <v>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9" t="s">
        <v>6</v>
      </c>
      <c r="B5" s="10" t="s">
        <v>7</v>
      </c>
      <c r="C5" s="10" t="s">
        <v>8</v>
      </c>
      <c r="D5" s="9"/>
      <c r="E5" s="11" t="s">
        <v>9</v>
      </c>
      <c r="F5" s="12" t="str">
        <f>Data!C1</f>
        <v>Andi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9" t="s">
        <v>10</v>
      </c>
      <c r="B6" s="13" t="s">
        <v>11</v>
      </c>
      <c r="C6" s="13" t="s">
        <v>12</v>
      </c>
      <c r="D6" s="9"/>
      <c r="E6" s="11" t="s">
        <v>13</v>
      </c>
      <c r="F6" s="14">
        <f>Data!E21</f>
        <v>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9" t="s">
        <v>14</v>
      </c>
      <c r="B7" s="15" t="s">
        <v>15</v>
      </c>
      <c r="C7" s="15" t="s">
        <v>16</v>
      </c>
      <c r="D7" s="9"/>
      <c r="E7" s="11" t="s">
        <v>17</v>
      </c>
      <c r="F7" s="3" t="str">
        <f>IF(F6&lt;=4,"Rendah",IF(F6&lt;=6,"Sedang","Tinggi"))</f>
        <v>Tinggi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0.25" customHeight="1">
      <c r="A8" s="9" t="s">
        <v>18</v>
      </c>
      <c r="B8" s="16" t="s">
        <v>19</v>
      </c>
      <c r="C8" s="16" t="s">
        <v>20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17" t="s">
        <v>21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18" t="str">
        <f>IF(Data!E21&gt;=15, "💀 CRITICAL - SIAP EXIT", IF(Data!E21&gt;=10, "🚨 HIGH RISK - SP/EVALUASI", IF(Data!E21&gt;=5, "⚠️ WARNING - PEMBINAAN", "✅ AMAN - MONITOR")) )</f>
        <v>⚠️ WARNING - PEMBINAAN</v>
      </c>
      <c r="G10" s="3"/>
      <c r="H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19" t="s">
        <v>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20" t="str">
        <f>IFERROR(__xludf.DUMMYFUNCTION("sparkline(F6,{""charttype"",""bar"";""max"",20;""color1"",""#de0000""})"),"")</f>
        <v/>
      </c>
      <c r="F13" s="2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7">
    <mergeCell ref="A1:F1"/>
    <mergeCell ref="A2:F2"/>
    <mergeCell ref="E4:F4"/>
    <mergeCell ref="E9:F9"/>
    <mergeCell ref="E10:F11"/>
    <mergeCell ref="E12:F12"/>
    <mergeCell ref="E13:F13"/>
  </mergeCells>
  <conditionalFormatting sqref="E10:F11">
    <cfRule type="containsText" dxfId="0" priority="1" operator="containsText" text="high risk">
      <formula>NOT(ISERROR(SEARCH(("high risk"),(E10))))</formula>
    </cfRule>
  </conditionalFormatting>
  <conditionalFormatting sqref="E10:F11">
    <cfRule type="containsText" dxfId="1" priority="2" operator="containsText" text="critical">
      <formula>NOT(ISERROR(SEARCH(("critical"),(E10))))</formula>
    </cfRule>
  </conditionalFormatting>
  <conditionalFormatting sqref="E10:F11">
    <cfRule type="containsText" dxfId="2" priority="3" operator="containsText" text="warning">
      <formula>NOT(ISERROR(SEARCH(("warning"),(E10))))</formula>
    </cfRule>
  </conditionalFormatting>
  <conditionalFormatting sqref="E10:F11">
    <cfRule type="containsText" dxfId="3" priority="4" operator="containsText" text="aman">
      <formula>NOT(ISERROR(SEARCH(("aman"),(E10))))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9.88"/>
    <col customWidth="1" min="3" max="3" width="25.88"/>
    <col customWidth="1" min="4" max="4" width="7.63"/>
    <col customWidth="1" min="5" max="5" width="18.38"/>
  </cols>
  <sheetData>
    <row r="1">
      <c r="A1" s="22"/>
      <c r="B1" s="23" t="s">
        <v>23</v>
      </c>
      <c r="C1" s="23" t="s">
        <v>24</v>
      </c>
      <c r="D1" s="24"/>
      <c r="E1" s="2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2"/>
      <c r="B2" s="22"/>
      <c r="C2" s="22"/>
      <c r="D2" s="24"/>
      <c r="E2" s="2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2" t="s">
        <v>25</v>
      </c>
      <c r="B3" s="22" t="s">
        <v>17</v>
      </c>
      <c r="C3" s="22" t="s">
        <v>26</v>
      </c>
      <c r="D3" s="24" t="s">
        <v>27</v>
      </c>
      <c r="E3" s="24" t="s">
        <v>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5">
        <v>1.0</v>
      </c>
      <c r="B4" s="22" t="s">
        <v>29</v>
      </c>
      <c r="C4" s="25" t="s">
        <v>30</v>
      </c>
      <c r="D4" s="26">
        <v>2.0</v>
      </c>
      <c r="E4" s="27" t="b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5">
        <v>2.0</v>
      </c>
      <c r="B5" s="22" t="s">
        <v>29</v>
      </c>
      <c r="C5" s="25" t="s">
        <v>31</v>
      </c>
      <c r="D5" s="26">
        <v>2.0</v>
      </c>
      <c r="E5" s="27" t="b"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5">
        <v>3.0</v>
      </c>
      <c r="B6" s="22" t="s">
        <v>29</v>
      </c>
      <c r="C6" s="25" t="s">
        <v>32</v>
      </c>
      <c r="D6" s="26">
        <v>4.0</v>
      </c>
      <c r="E6" s="27" t="b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5">
        <v>4.0</v>
      </c>
      <c r="B7" s="22" t="s">
        <v>33</v>
      </c>
      <c r="C7" s="25" t="s">
        <v>34</v>
      </c>
      <c r="D7" s="26">
        <v>3.0</v>
      </c>
      <c r="E7" s="27" t="b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5">
        <v>5.0</v>
      </c>
      <c r="B8" s="22" t="s">
        <v>33</v>
      </c>
      <c r="C8" s="25" t="s">
        <v>35</v>
      </c>
      <c r="D8" s="26">
        <v>3.0</v>
      </c>
      <c r="E8" s="27" t="b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5">
        <v>6.0</v>
      </c>
      <c r="B9" s="22" t="s">
        <v>33</v>
      </c>
      <c r="C9" s="25" t="s">
        <v>36</v>
      </c>
      <c r="D9" s="26">
        <v>2.0</v>
      </c>
      <c r="E9" s="27" t="b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5">
        <v>7.0</v>
      </c>
      <c r="B10" s="22" t="s">
        <v>37</v>
      </c>
      <c r="C10" s="25" t="s">
        <v>38</v>
      </c>
      <c r="D10" s="26">
        <v>4.0</v>
      </c>
      <c r="E10" s="27" t="b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5">
        <v>8.0</v>
      </c>
      <c r="B11" s="22" t="s">
        <v>37</v>
      </c>
      <c r="C11" s="25" t="s">
        <v>39</v>
      </c>
      <c r="D11" s="26">
        <v>3.0</v>
      </c>
      <c r="E11" s="27" t="b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5">
        <v>9.0</v>
      </c>
      <c r="B12" s="22" t="s">
        <v>37</v>
      </c>
      <c r="C12" s="25" t="s">
        <v>40</v>
      </c>
      <c r="D12" s="26">
        <v>4.0</v>
      </c>
      <c r="E12" s="27" t="b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5">
        <v>10.0</v>
      </c>
      <c r="B13" s="22" t="s">
        <v>37</v>
      </c>
      <c r="C13" s="25" t="s">
        <v>41</v>
      </c>
      <c r="D13" s="26">
        <v>3.0</v>
      </c>
      <c r="E13" s="27" t="b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5">
        <v>11.0</v>
      </c>
      <c r="B14" s="22" t="s">
        <v>42</v>
      </c>
      <c r="C14" s="25" t="s">
        <v>43</v>
      </c>
      <c r="D14" s="26">
        <v>2.0</v>
      </c>
      <c r="E14" s="27" t="b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5">
        <v>12.0</v>
      </c>
      <c r="B15" s="22" t="s">
        <v>42</v>
      </c>
      <c r="C15" s="25" t="s">
        <v>44</v>
      </c>
      <c r="D15" s="26">
        <v>3.0</v>
      </c>
      <c r="E15" s="27" t="b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5">
        <v>13.0</v>
      </c>
      <c r="B16" s="22" t="s">
        <v>42</v>
      </c>
      <c r="C16" s="25" t="s">
        <v>45</v>
      </c>
      <c r="D16" s="26">
        <v>4.0</v>
      </c>
      <c r="E16" s="27" t="b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5">
        <v>14.0</v>
      </c>
      <c r="B17" s="22" t="s">
        <v>42</v>
      </c>
      <c r="C17" s="25" t="s">
        <v>46</v>
      </c>
      <c r="D17" s="26">
        <v>5.0</v>
      </c>
      <c r="E17" s="27" t="b">
        <v>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5">
        <v>15.0</v>
      </c>
      <c r="B18" s="22" t="s">
        <v>47</v>
      </c>
      <c r="C18" s="25" t="s">
        <v>48</v>
      </c>
      <c r="D18" s="26">
        <v>4.0</v>
      </c>
      <c r="E18" s="27" t="b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5">
        <v>16.0</v>
      </c>
      <c r="B19" s="22" t="s">
        <v>47</v>
      </c>
      <c r="C19" s="25" t="s">
        <v>49</v>
      </c>
      <c r="D19" s="26">
        <v>5.0</v>
      </c>
      <c r="E19" s="27" t="b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5">
        <v>17.0</v>
      </c>
      <c r="B20" s="22" t="s">
        <v>47</v>
      </c>
      <c r="C20" s="25" t="s">
        <v>50</v>
      </c>
      <c r="D20" s="26">
        <v>4.0</v>
      </c>
      <c r="E20" s="27" t="b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 t="s">
        <v>51</v>
      </c>
      <c r="E21" s="28">
        <f>SUMPRODUCT(D4:D20, E4:E20)</f>
        <v>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 t="s">
        <v>52</v>
      </c>
      <c r="D22" s="28" t="str">
        <f>IF(E21&gt;=15, "💀 CRITICAL - SIAP EXIT", IF(E21&gt;=10, "🚨 HIGH RISK - SP/EVALUASI", IF(E21&gt;=5, "⚠️ WARNING - PEMBINAAN", "✅ AMAN - MONITOR")) )</f>
        <v>⚠️ WARNING - PEMBINAAN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28"/>
      <c r="E24" s="2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28"/>
      <c r="E25" s="2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28"/>
      <c r="E26" s="2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28"/>
      <c r="E27" s="2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28"/>
      <c r="E28" s="2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28"/>
      <c r="E29" s="2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28"/>
      <c r="E30" s="2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28"/>
      <c r="E31" s="2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28"/>
      <c r="E32" s="2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28"/>
      <c r="E33" s="2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28"/>
      <c r="E34" s="2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28"/>
      <c r="E35" s="2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28"/>
      <c r="E36" s="2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28"/>
      <c r="E37" s="2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28"/>
      <c r="E38" s="2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28"/>
      <c r="E39" s="2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28"/>
      <c r="E40" s="2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28"/>
      <c r="E41" s="2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28"/>
      <c r="E42" s="2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28"/>
      <c r="E43" s="2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28"/>
      <c r="E44" s="2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28"/>
      <c r="E45" s="2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28"/>
      <c r="E46" s="2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28"/>
      <c r="E47" s="2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28"/>
      <c r="E48" s="2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28"/>
      <c r="E49" s="2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28"/>
      <c r="E50" s="2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28"/>
      <c r="E51" s="2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28"/>
      <c r="E52" s="2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28"/>
      <c r="E53" s="2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28"/>
      <c r="E54" s="2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28"/>
      <c r="E55" s="2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28"/>
      <c r="E56" s="2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28"/>
      <c r="E57" s="2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28"/>
      <c r="E58" s="2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28"/>
      <c r="E59" s="2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28"/>
      <c r="E60" s="2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28"/>
      <c r="E61" s="2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28"/>
      <c r="E62" s="2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28"/>
      <c r="E63" s="2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28"/>
      <c r="E64" s="2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28"/>
      <c r="E65" s="2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28"/>
      <c r="E66" s="2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28"/>
      <c r="E67" s="2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28"/>
      <c r="E68" s="2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28"/>
      <c r="E69" s="2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28"/>
      <c r="E70" s="2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28"/>
      <c r="E71" s="2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28"/>
      <c r="E72" s="2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28"/>
      <c r="E73" s="2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28"/>
      <c r="E74" s="2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28"/>
      <c r="E75" s="2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28"/>
      <c r="E76" s="2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28"/>
      <c r="E77" s="2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28"/>
      <c r="E78" s="2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28"/>
      <c r="E79" s="2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28"/>
      <c r="E80" s="2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28"/>
      <c r="E81" s="2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28"/>
      <c r="E82" s="2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28"/>
      <c r="E83" s="2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28"/>
      <c r="E84" s="28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28"/>
      <c r="E85" s="2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28"/>
      <c r="E86" s="2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28"/>
      <c r="E87" s="2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28"/>
      <c r="E88" s="2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28"/>
      <c r="E89" s="2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28"/>
      <c r="E90" s="2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28"/>
      <c r="E91" s="2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28"/>
      <c r="E92" s="2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28"/>
      <c r="E93" s="2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28"/>
      <c r="E94" s="2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28"/>
      <c r="E95" s="2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28"/>
      <c r="E96" s="2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28"/>
      <c r="E97" s="2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28"/>
      <c r="E98" s="2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28"/>
      <c r="E99" s="2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28"/>
      <c r="E100" s="2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28"/>
      <c r="E101" s="2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28"/>
      <c r="E102" s="28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28"/>
      <c r="E103" s="2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28"/>
      <c r="E104" s="28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28"/>
      <c r="E105" s="2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28"/>
      <c r="E106" s="28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28"/>
      <c r="E107" s="2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28"/>
      <c r="E108" s="2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28"/>
      <c r="E109" s="2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28"/>
      <c r="E110" s="28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28"/>
      <c r="E111" s="2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28"/>
      <c r="E112" s="28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28"/>
      <c r="E113" s="2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28"/>
      <c r="E114" s="2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28"/>
      <c r="E115" s="2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28"/>
      <c r="E116" s="2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28"/>
      <c r="E117" s="2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28"/>
      <c r="E118" s="2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28"/>
      <c r="E119" s="2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28"/>
      <c r="E120" s="28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28"/>
      <c r="E121" s="28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28"/>
      <c r="E122" s="28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28"/>
      <c r="E123" s="28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28"/>
      <c r="E124" s="28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28"/>
      <c r="E125" s="28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28"/>
      <c r="E126" s="28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28"/>
      <c r="E127" s="28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28"/>
      <c r="E128" s="28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28"/>
      <c r="E129" s="28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28"/>
      <c r="E130" s="28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28"/>
      <c r="E131" s="28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28"/>
      <c r="E132" s="28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28"/>
      <c r="E133" s="28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28"/>
      <c r="E134" s="28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28"/>
      <c r="E135" s="28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28"/>
      <c r="E136" s="28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28"/>
      <c r="E137" s="2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28"/>
      <c r="E138" s="28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28"/>
      <c r="E139" s="2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28"/>
      <c r="E140" s="28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28"/>
      <c r="E141" s="28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28"/>
      <c r="E142" s="28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28"/>
      <c r="E143" s="28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28"/>
      <c r="E144" s="28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28"/>
      <c r="E145" s="28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28"/>
      <c r="E146" s="28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28"/>
      <c r="E147" s="2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28"/>
      <c r="E148" s="28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28"/>
      <c r="E149" s="2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28"/>
      <c r="E150" s="28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28"/>
      <c r="E151" s="28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28"/>
      <c r="E152" s="28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28"/>
      <c r="E153" s="28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28"/>
      <c r="E154" s="28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28"/>
      <c r="E155" s="28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28"/>
      <c r="E156" s="28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28"/>
      <c r="E157" s="28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28"/>
      <c r="E158" s="28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28"/>
      <c r="E159" s="28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28"/>
      <c r="E160" s="28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28"/>
      <c r="E161" s="28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28"/>
      <c r="E162" s="28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28"/>
      <c r="E163" s="28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28"/>
      <c r="E164" s="28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28"/>
      <c r="E165" s="28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28"/>
      <c r="E166" s="28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28"/>
      <c r="E167" s="28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28"/>
      <c r="E168" s="28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28"/>
      <c r="E169" s="28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28"/>
      <c r="E170" s="28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28"/>
      <c r="E171" s="28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28"/>
      <c r="E172" s="28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28"/>
      <c r="E173" s="28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28"/>
      <c r="E174" s="28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28"/>
      <c r="E175" s="28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28"/>
      <c r="E176" s="28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28"/>
      <c r="E177" s="28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28"/>
      <c r="E178" s="28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28"/>
      <c r="E179" s="28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28"/>
      <c r="E180" s="28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28"/>
      <c r="E181" s="28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28"/>
      <c r="E182" s="28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28"/>
      <c r="E183" s="28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28"/>
      <c r="E184" s="28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28"/>
      <c r="E185" s="28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28"/>
      <c r="E186" s="28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28"/>
      <c r="E187" s="28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28"/>
      <c r="E188" s="28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28"/>
      <c r="E189" s="28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28"/>
      <c r="E190" s="28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28"/>
      <c r="E191" s="28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28"/>
      <c r="E192" s="28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28"/>
      <c r="E193" s="28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28"/>
      <c r="E194" s="28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28"/>
      <c r="E195" s="28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28"/>
      <c r="E196" s="28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28"/>
      <c r="E197" s="28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28"/>
      <c r="E198" s="28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28"/>
      <c r="E199" s="28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28"/>
      <c r="E200" s="28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28"/>
      <c r="E201" s="28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28"/>
      <c r="E202" s="28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28"/>
      <c r="E203" s="28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28"/>
      <c r="E204" s="28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28"/>
      <c r="E205" s="28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28"/>
      <c r="E206" s="28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28"/>
      <c r="E207" s="28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28"/>
      <c r="E208" s="28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28"/>
      <c r="E209" s="28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28"/>
      <c r="E210" s="28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28"/>
      <c r="E211" s="28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28"/>
      <c r="E212" s="28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28"/>
      <c r="E213" s="28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28"/>
      <c r="E214" s="28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28"/>
      <c r="E215" s="28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28"/>
      <c r="E216" s="28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28"/>
      <c r="E217" s="28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28"/>
      <c r="E218" s="28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28"/>
      <c r="E219" s="28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28"/>
      <c r="E220" s="28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28"/>
      <c r="E221" s="28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28"/>
      <c r="E222" s="28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28"/>
      <c r="E223" s="28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28"/>
      <c r="E224" s="28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28"/>
      <c r="E225" s="28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28"/>
      <c r="E226" s="28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28"/>
      <c r="E227" s="28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28"/>
      <c r="E228" s="28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28"/>
      <c r="E229" s="28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28"/>
      <c r="E230" s="28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28"/>
      <c r="E231" s="28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28"/>
      <c r="E232" s="28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28"/>
      <c r="E233" s="28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28"/>
      <c r="E234" s="28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28"/>
      <c r="E235" s="28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28"/>
      <c r="E236" s="28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28"/>
      <c r="E237" s="28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28"/>
      <c r="E238" s="28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28"/>
      <c r="E239" s="28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28"/>
      <c r="E240" s="28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28"/>
      <c r="E241" s="28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28"/>
      <c r="E242" s="28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28"/>
      <c r="E243" s="28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28"/>
      <c r="E244" s="28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28"/>
      <c r="E245" s="28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28"/>
      <c r="E246" s="28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28"/>
      <c r="E247" s="28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28"/>
      <c r="E248" s="28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28"/>
      <c r="E249" s="28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28"/>
      <c r="E250" s="28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28"/>
      <c r="E251" s="28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28"/>
      <c r="E252" s="28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28"/>
      <c r="E253" s="28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28"/>
      <c r="E254" s="28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28"/>
      <c r="E255" s="28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28"/>
      <c r="E256" s="28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28"/>
      <c r="E257" s="28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28"/>
      <c r="E258" s="28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28"/>
      <c r="E259" s="28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28"/>
      <c r="E260" s="28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28"/>
      <c r="E261" s="28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28"/>
      <c r="E262" s="28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28"/>
      <c r="E263" s="28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28"/>
      <c r="E264" s="28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28"/>
      <c r="E265" s="28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28"/>
      <c r="E266" s="28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28"/>
      <c r="E267" s="28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28"/>
      <c r="E268" s="28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28"/>
      <c r="E269" s="28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28"/>
      <c r="E270" s="28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28"/>
      <c r="E271" s="28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28"/>
      <c r="E272" s="28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28"/>
      <c r="E273" s="28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28"/>
      <c r="E274" s="28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28"/>
      <c r="E275" s="28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28"/>
      <c r="E276" s="28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28"/>
      <c r="E277" s="28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28"/>
      <c r="E278" s="28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28"/>
      <c r="E279" s="28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28"/>
      <c r="E280" s="28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28"/>
      <c r="E281" s="28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28"/>
      <c r="E282" s="28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28"/>
      <c r="E283" s="28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28"/>
      <c r="E284" s="28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28"/>
      <c r="E285" s="28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28"/>
      <c r="E286" s="28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28"/>
      <c r="E287" s="28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28"/>
      <c r="E288" s="28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28"/>
      <c r="E289" s="28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28"/>
      <c r="E290" s="28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28"/>
      <c r="E291" s="28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28"/>
      <c r="E292" s="28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28"/>
      <c r="E293" s="28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28"/>
      <c r="E294" s="28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28"/>
      <c r="E295" s="28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28"/>
      <c r="E296" s="28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28"/>
      <c r="E297" s="28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28"/>
      <c r="E298" s="28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28"/>
      <c r="E299" s="28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28"/>
      <c r="E300" s="28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28"/>
      <c r="E301" s="28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28"/>
      <c r="E302" s="28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28"/>
      <c r="E303" s="28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28"/>
      <c r="E304" s="28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28"/>
      <c r="E305" s="28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28"/>
      <c r="E306" s="28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28"/>
      <c r="E307" s="28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28"/>
      <c r="E308" s="28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28"/>
      <c r="E309" s="28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28"/>
      <c r="E310" s="28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28"/>
      <c r="E311" s="28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28"/>
      <c r="E312" s="28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28"/>
      <c r="E313" s="28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28"/>
      <c r="E314" s="28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28"/>
      <c r="E315" s="28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28"/>
      <c r="E316" s="28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28"/>
      <c r="E317" s="28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28"/>
      <c r="E318" s="28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28"/>
      <c r="E319" s="28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28"/>
      <c r="E320" s="28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28"/>
      <c r="E321" s="28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28"/>
      <c r="E322" s="28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28"/>
      <c r="E323" s="28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28"/>
      <c r="E324" s="28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28"/>
      <c r="E325" s="28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28"/>
      <c r="E326" s="28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28"/>
      <c r="E327" s="28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28"/>
      <c r="E328" s="28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28"/>
      <c r="E329" s="28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28"/>
      <c r="E330" s="28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28"/>
      <c r="E331" s="28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28"/>
      <c r="E332" s="28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28"/>
      <c r="E333" s="28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28"/>
      <c r="E334" s="28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28"/>
      <c r="E335" s="28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28"/>
      <c r="E336" s="28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28"/>
      <c r="E337" s="28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28"/>
      <c r="E338" s="28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28"/>
      <c r="E339" s="28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28"/>
      <c r="E340" s="28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28"/>
      <c r="E341" s="28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28"/>
      <c r="E342" s="28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28"/>
      <c r="E343" s="28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28"/>
      <c r="E344" s="28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28"/>
      <c r="E345" s="28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28"/>
      <c r="E346" s="28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28"/>
      <c r="E347" s="28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28"/>
      <c r="E348" s="28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28"/>
      <c r="E349" s="28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28"/>
      <c r="E350" s="28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28"/>
      <c r="E351" s="28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28"/>
      <c r="E352" s="28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28"/>
      <c r="E353" s="28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28"/>
      <c r="E354" s="28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28"/>
      <c r="E355" s="28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28"/>
      <c r="E356" s="28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28"/>
      <c r="E357" s="28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28"/>
      <c r="E358" s="28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28"/>
      <c r="E359" s="28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28"/>
      <c r="E360" s="28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28"/>
      <c r="E361" s="28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28"/>
      <c r="E362" s="28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28"/>
      <c r="E363" s="28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28"/>
      <c r="E364" s="28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28"/>
      <c r="E365" s="28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28"/>
      <c r="E366" s="28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28"/>
      <c r="E367" s="28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28"/>
      <c r="E368" s="28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28"/>
      <c r="E369" s="28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28"/>
      <c r="E370" s="28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28"/>
      <c r="E371" s="28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28"/>
      <c r="E372" s="28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28"/>
      <c r="E373" s="28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28"/>
      <c r="E374" s="28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28"/>
      <c r="E375" s="28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28"/>
      <c r="E376" s="28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28"/>
      <c r="E377" s="28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28"/>
      <c r="E378" s="28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28"/>
      <c r="E379" s="28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28"/>
      <c r="E380" s="28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28"/>
      <c r="E381" s="28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28"/>
      <c r="E382" s="28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28"/>
      <c r="E383" s="28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28"/>
      <c r="E384" s="28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28"/>
      <c r="E385" s="28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28"/>
      <c r="E386" s="28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28"/>
      <c r="E387" s="28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28"/>
      <c r="E388" s="28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28"/>
      <c r="E389" s="28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28"/>
      <c r="E390" s="28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28"/>
      <c r="E391" s="28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28"/>
      <c r="E392" s="28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28"/>
      <c r="E393" s="28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28"/>
      <c r="E394" s="28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28"/>
      <c r="E395" s="28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28"/>
      <c r="E396" s="28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28"/>
      <c r="E397" s="28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28"/>
      <c r="E398" s="28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28"/>
      <c r="E399" s="28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28"/>
      <c r="E400" s="28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28"/>
      <c r="E401" s="28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28"/>
      <c r="E402" s="28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28"/>
      <c r="E403" s="28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28"/>
      <c r="E404" s="28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28"/>
      <c r="E405" s="28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28"/>
      <c r="E406" s="28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28"/>
      <c r="E407" s="28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28"/>
      <c r="E408" s="28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28"/>
      <c r="E409" s="28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28"/>
      <c r="E410" s="28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28"/>
      <c r="E411" s="28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28"/>
      <c r="E412" s="28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28"/>
      <c r="E413" s="28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28"/>
      <c r="E414" s="28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28"/>
      <c r="E415" s="28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28"/>
      <c r="E416" s="28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28"/>
      <c r="E417" s="28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28"/>
      <c r="E418" s="28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28"/>
      <c r="E419" s="28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28"/>
      <c r="E420" s="28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28"/>
      <c r="E421" s="28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28"/>
      <c r="E422" s="28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28"/>
      <c r="E423" s="28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28"/>
      <c r="E424" s="28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28"/>
      <c r="E425" s="28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28"/>
      <c r="E426" s="28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28"/>
      <c r="E427" s="28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28"/>
      <c r="E428" s="28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28"/>
      <c r="E429" s="28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28"/>
      <c r="E430" s="28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28"/>
      <c r="E431" s="28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28"/>
      <c r="E432" s="28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28"/>
      <c r="E433" s="28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28"/>
      <c r="E434" s="28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28"/>
      <c r="E435" s="28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28"/>
      <c r="E436" s="28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28"/>
      <c r="E437" s="28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28"/>
      <c r="E438" s="28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28"/>
      <c r="E439" s="28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28"/>
      <c r="E440" s="28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28"/>
      <c r="E441" s="28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28"/>
      <c r="E442" s="28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28"/>
      <c r="E443" s="28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28"/>
      <c r="E444" s="28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28"/>
      <c r="E445" s="28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28"/>
      <c r="E446" s="28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28"/>
      <c r="E447" s="28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28"/>
      <c r="E448" s="28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28"/>
      <c r="E449" s="28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28"/>
      <c r="E450" s="28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28"/>
      <c r="E451" s="28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28"/>
      <c r="E452" s="28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28"/>
      <c r="E453" s="28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28"/>
      <c r="E454" s="28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28"/>
      <c r="E455" s="28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28"/>
      <c r="E456" s="28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28"/>
      <c r="E457" s="28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28"/>
      <c r="E458" s="28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28"/>
      <c r="E459" s="28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28"/>
      <c r="E460" s="28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28"/>
      <c r="E461" s="28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28"/>
      <c r="E462" s="28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28"/>
      <c r="E463" s="28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28"/>
      <c r="E464" s="28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28"/>
      <c r="E465" s="28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28"/>
      <c r="E466" s="28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28"/>
      <c r="E467" s="28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28"/>
      <c r="E468" s="28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28"/>
      <c r="E469" s="28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28"/>
      <c r="E470" s="28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28"/>
      <c r="E471" s="28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28"/>
      <c r="E472" s="28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28"/>
      <c r="E473" s="28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28"/>
      <c r="E474" s="28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28"/>
      <c r="E475" s="28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28"/>
      <c r="E476" s="28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28"/>
      <c r="E477" s="28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28"/>
      <c r="E478" s="28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28"/>
      <c r="E479" s="28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28"/>
      <c r="E480" s="28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28"/>
      <c r="E481" s="28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28"/>
      <c r="E482" s="28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28"/>
      <c r="E483" s="28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28"/>
      <c r="E484" s="28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28"/>
      <c r="E485" s="28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28"/>
      <c r="E486" s="28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28"/>
      <c r="E487" s="28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28"/>
      <c r="E488" s="28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28"/>
      <c r="E489" s="28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28"/>
      <c r="E490" s="28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28"/>
      <c r="E491" s="28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28"/>
      <c r="E492" s="28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28"/>
      <c r="E493" s="28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28"/>
      <c r="E494" s="28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28"/>
      <c r="E495" s="28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28"/>
      <c r="E496" s="28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28"/>
      <c r="E497" s="28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28"/>
      <c r="E498" s="28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28"/>
      <c r="E499" s="28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28"/>
      <c r="E500" s="28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28"/>
      <c r="E501" s="28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28"/>
      <c r="E502" s="28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28"/>
      <c r="E503" s="28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28"/>
      <c r="E504" s="28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28"/>
      <c r="E505" s="28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28"/>
      <c r="E506" s="28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28"/>
      <c r="E507" s="28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28"/>
      <c r="E508" s="28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28"/>
      <c r="E509" s="28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28"/>
      <c r="E510" s="28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28"/>
      <c r="E511" s="28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28"/>
      <c r="E512" s="28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28"/>
      <c r="E513" s="28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28"/>
      <c r="E514" s="28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28"/>
      <c r="E515" s="28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28"/>
      <c r="E516" s="28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28"/>
      <c r="E517" s="28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28"/>
      <c r="E518" s="28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28"/>
      <c r="E519" s="28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28"/>
      <c r="E520" s="28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28"/>
      <c r="E521" s="28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28"/>
      <c r="E522" s="28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28"/>
      <c r="E523" s="28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28"/>
      <c r="E524" s="28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28"/>
      <c r="E525" s="28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28"/>
      <c r="E526" s="28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28"/>
      <c r="E527" s="28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28"/>
      <c r="E528" s="28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28"/>
      <c r="E529" s="28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28"/>
      <c r="E530" s="28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28"/>
      <c r="E531" s="28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28"/>
      <c r="E532" s="28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28"/>
      <c r="E533" s="28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28"/>
      <c r="E534" s="28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28"/>
      <c r="E535" s="28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28"/>
      <c r="E536" s="28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28"/>
      <c r="E537" s="28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28"/>
      <c r="E538" s="28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28"/>
      <c r="E539" s="28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28"/>
      <c r="E540" s="28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28"/>
      <c r="E541" s="28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28"/>
      <c r="E542" s="28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28"/>
      <c r="E543" s="28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28"/>
      <c r="E544" s="28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28"/>
      <c r="E545" s="28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28"/>
      <c r="E546" s="28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28"/>
      <c r="E547" s="28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28"/>
      <c r="E548" s="28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28"/>
      <c r="E549" s="28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28"/>
      <c r="E550" s="28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28"/>
      <c r="E551" s="28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28"/>
      <c r="E552" s="28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28"/>
      <c r="E553" s="28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28"/>
      <c r="E554" s="28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28"/>
      <c r="E555" s="28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28"/>
      <c r="E556" s="28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28"/>
      <c r="E557" s="28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28"/>
      <c r="E558" s="28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28"/>
      <c r="E559" s="28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28"/>
      <c r="E560" s="28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28"/>
      <c r="E561" s="28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28"/>
      <c r="E562" s="28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28"/>
      <c r="E563" s="28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28"/>
      <c r="E564" s="28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28"/>
      <c r="E565" s="28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28"/>
      <c r="E566" s="28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28"/>
      <c r="E567" s="28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28"/>
      <c r="E568" s="28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28"/>
      <c r="E569" s="28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28"/>
      <c r="E570" s="28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28"/>
      <c r="E571" s="28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28"/>
      <c r="E572" s="28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28"/>
      <c r="E573" s="28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28"/>
      <c r="E574" s="28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28"/>
      <c r="E575" s="28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28"/>
      <c r="E576" s="28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28"/>
      <c r="E577" s="28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28"/>
      <c r="E578" s="28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28"/>
      <c r="E579" s="28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28"/>
      <c r="E580" s="28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28"/>
      <c r="E581" s="28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28"/>
      <c r="E582" s="28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28"/>
      <c r="E583" s="28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28"/>
      <c r="E584" s="28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28"/>
      <c r="E585" s="28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28"/>
      <c r="E586" s="28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28"/>
      <c r="E587" s="28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28"/>
      <c r="E588" s="28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28"/>
      <c r="E589" s="28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28"/>
      <c r="E590" s="28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28"/>
      <c r="E591" s="28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28"/>
      <c r="E592" s="28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28"/>
      <c r="E593" s="28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28"/>
      <c r="E594" s="28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28"/>
      <c r="E595" s="28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28"/>
      <c r="E596" s="28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28"/>
      <c r="E597" s="28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28"/>
      <c r="E598" s="28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28"/>
      <c r="E599" s="28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28"/>
      <c r="E600" s="28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28"/>
      <c r="E601" s="28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28"/>
      <c r="E602" s="28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28"/>
      <c r="E603" s="28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28"/>
      <c r="E604" s="28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28"/>
      <c r="E605" s="28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28"/>
      <c r="E606" s="28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28"/>
      <c r="E607" s="28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28"/>
      <c r="E608" s="28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28"/>
      <c r="E609" s="28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28"/>
      <c r="E610" s="28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28"/>
      <c r="E611" s="28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28"/>
      <c r="E612" s="28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28"/>
      <c r="E613" s="28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28"/>
      <c r="E614" s="28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28"/>
      <c r="E615" s="28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28"/>
      <c r="E616" s="28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28"/>
      <c r="E617" s="28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28"/>
      <c r="E618" s="28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28"/>
      <c r="E619" s="28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28"/>
      <c r="E620" s="28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28"/>
      <c r="E621" s="28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28"/>
      <c r="E622" s="28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28"/>
      <c r="E623" s="28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28"/>
      <c r="E624" s="28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28"/>
      <c r="E625" s="28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28"/>
      <c r="E626" s="28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28"/>
      <c r="E627" s="28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28"/>
      <c r="E628" s="28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28"/>
      <c r="E629" s="28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28"/>
      <c r="E630" s="28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28"/>
      <c r="E631" s="28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28"/>
      <c r="E632" s="28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28"/>
      <c r="E633" s="28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28"/>
      <c r="E634" s="28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28"/>
      <c r="E635" s="28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28"/>
      <c r="E636" s="28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28"/>
      <c r="E637" s="28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28"/>
      <c r="E638" s="28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28"/>
      <c r="E639" s="28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28"/>
      <c r="E640" s="28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28"/>
      <c r="E641" s="28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28"/>
      <c r="E642" s="28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28"/>
      <c r="E643" s="28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28"/>
      <c r="E644" s="28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28"/>
      <c r="E645" s="28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28"/>
      <c r="E646" s="28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28"/>
      <c r="E647" s="28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28"/>
      <c r="E648" s="28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28"/>
      <c r="E649" s="28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28"/>
      <c r="E650" s="28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28"/>
      <c r="E651" s="28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28"/>
      <c r="E652" s="28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28"/>
      <c r="E653" s="28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28"/>
      <c r="E654" s="28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28"/>
      <c r="E655" s="28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28"/>
      <c r="E656" s="28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28"/>
      <c r="E657" s="28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28"/>
      <c r="E658" s="28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28"/>
      <c r="E659" s="28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28"/>
      <c r="E660" s="28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28"/>
      <c r="E661" s="28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28"/>
      <c r="E662" s="28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28"/>
      <c r="E663" s="28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28"/>
      <c r="E664" s="28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28"/>
      <c r="E665" s="28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28"/>
      <c r="E666" s="28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28"/>
      <c r="E667" s="28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28"/>
      <c r="E668" s="28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28"/>
      <c r="E669" s="28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28"/>
      <c r="E670" s="28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28"/>
      <c r="E671" s="28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28"/>
      <c r="E672" s="28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28"/>
      <c r="E673" s="28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28"/>
      <c r="E674" s="28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28"/>
      <c r="E675" s="28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28"/>
      <c r="E676" s="28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28"/>
      <c r="E677" s="28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28"/>
      <c r="E678" s="28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28"/>
      <c r="E679" s="28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28"/>
      <c r="E680" s="28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28"/>
      <c r="E681" s="28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28"/>
      <c r="E682" s="28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28"/>
      <c r="E683" s="28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28"/>
      <c r="E684" s="28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28"/>
      <c r="E685" s="28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28"/>
      <c r="E686" s="28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28"/>
      <c r="E687" s="28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28"/>
      <c r="E688" s="28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28"/>
      <c r="E689" s="28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28"/>
      <c r="E690" s="28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28"/>
      <c r="E691" s="28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28"/>
      <c r="E692" s="28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28"/>
      <c r="E693" s="28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28"/>
      <c r="E694" s="28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28"/>
      <c r="E695" s="28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28"/>
      <c r="E696" s="28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28"/>
      <c r="E697" s="28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28"/>
      <c r="E698" s="28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28"/>
      <c r="E699" s="28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28"/>
      <c r="E700" s="28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28"/>
      <c r="E701" s="28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28"/>
      <c r="E702" s="28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28"/>
      <c r="E703" s="28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28"/>
      <c r="E704" s="28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28"/>
      <c r="E705" s="28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28"/>
      <c r="E706" s="28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28"/>
      <c r="E707" s="28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28"/>
      <c r="E708" s="28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28"/>
      <c r="E709" s="28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28"/>
      <c r="E710" s="28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28"/>
      <c r="E711" s="28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28"/>
      <c r="E712" s="28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28"/>
      <c r="E713" s="28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28"/>
      <c r="E714" s="28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28"/>
      <c r="E715" s="28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28"/>
      <c r="E716" s="28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28"/>
      <c r="E717" s="28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28"/>
      <c r="E718" s="28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28"/>
      <c r="E719" s="28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28"/>
      <c r="E720" s="28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28"/>
      <c r="E721" s="28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28"/>
      <c r="E722" s="28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28"/>
      <c r="E723" s="28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28"/>
      <c r="E724" s="28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28"/>
      <c r="E725" s="28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28"/>
      <c r="E726" s="28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28"/>
      <c r="E727" s="28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28"/>
      <c r="E728" s="28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28"/>
      <c r="E729" s="28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28"/>
      <c r="E730" s="28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28"/>
      <c r="E731" s="28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28"/>
      <c r="E732" s="28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28"/>
      <c r="E733" s="28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28"/>
      <c r="E734" s="28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28"/>
      <c r="E735" s="28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28"/>
      <c r="E736" s="28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28"/>
      <c r="E737" s="28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28"/>
      <c r="E738" s="28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28"/>
      <c r="E739" s="28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28"/>
      <c r="E740" s="28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28"/>
      <c r="E741" s="28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28"/>
      <c r="E742" s="28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28"/>
      <c r="E743" s="28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28"/>
      <c r="E744" s="28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28"/>
      <c r="E745" s="28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28"/>
      <c r="E746" s="28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28"/>
      <c r="E747" s="28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28"/>
      <c r="E748" s="28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28"/>
      <c r="E749" s="28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28"/>
      <c r="E750" s="28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28"/>
      <c r="E751" s="28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28"/>
      <c r="E752" s="28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28"/>
      <c r="E753" s="28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28"/>
      <c r="E754" s="28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28"/>
      <c r="E755" s="28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28"/>
      <c r="E756" s="28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28"/>
      <c r="E757" s="28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28"/>
      <c r="E758" s="28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28"/>
      <c r="E759" s="28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28"/>
      <c r="E760" s="28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28"/>
      <c r="E761" s="28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28"/>
      <c r="E762" s="28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28"/>
      <c r="E763" s="28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28"/>
      <c r="E764" s="28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28"/>
      <c r="E765" s="28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28"/>
      <c r="E766" s="28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28"/>
      <c r="E767" s="28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28"/>
      <c r="E768" s="28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28"/>
      <c r="E769" s="28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28"/>
      <c r="E770" s="28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28"/>
      <c r="E771" s="28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28"/>
      <c r="E772" s="28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28"/>
      <c r="E773" s="28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28"/>
      <c r="E774" s="28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28"/>
      <c r="E775" s="28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28"/>
      <c r="E776" s="28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28"/>
      <c r="E777" s="28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28"/>
      <c r="E778" s="28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28"/>
      <c r="E779" s="28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28"/>
      <c r="E780" s="28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28"/>
      <c r="E781" s="28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28"/>
      <c r="E782" s="28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28"/>
      <c r="E783" s="28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28"/>
      <c r="E784" s="28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28"/>
      <c r="E785" s="28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28"/>
      <c r="E786" s="28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28"/>
      <c r="E787" s="28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28"/>
      <c r="E788" s="28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28"/>
      <c r="E789" s="28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28"/>
      <c r="E790" s="28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28"/>
      <c r="E791" s="28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28"/>
      <c r="E792" s="28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28"/>
      <c r="E793" s="28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28"/>
      <c r="E794" s="28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28"/>
      <c r="E795" s="28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28"/>
      <c r="E796" s="28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28"/>
      <c r="E797" s="28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28"/>
      <c r="E798" s="28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28"/>
      <c r="E799" s="28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28"/>
      <c r="E800" s="28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28"/>
      <c r="E801" s="28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28"/>
      <c r="E802" s="28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28"/>
      <c r="E803" s="28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28"/>
      <c r="E804" s="28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28"/>
      <c r="E805" s="28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28"/>
      <c r="E806" s="28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28"/>
      <c r="E807" s="28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28"/>
      <c r="E808" s="28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28"/>
      <c r="E809" s="28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28"/>
      <c r="E810" s="28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28"/>
      <c r="E811" s="28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28"/>
      <c r="E812" s="28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28"/>
      <c r="E813" s="28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28"/>
      <c r="E814" s="28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28"/>
      <c r="E815" s="28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28"/>
      <c r="E816" s="28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28"/>
      <c r="E817" s="28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28"/>
      <c r="E818" s="28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28"/>
      <c r="E819" s="28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28"/>
      <c r="E820" s="28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28"/>
      <c r="E821" s="28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28"/>
      <c r="E822" s="28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28"/>
      <c r="E823" s="28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28"/>
      <c r="E824" s="28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28"/>
      <c r="E825" s="28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28"/>
      <c r="E826" s="28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28"/>
      <c r="E827" s="28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28"/>
      <c r="E828" s="28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28"/>
      <c r="E829" s="28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28"/>
      <c r="E830" s="28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28"/>
      <c r="E831" s="28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28"/>
      <c r="E832" s="28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28"/>
      <c r="E833" s="28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28"/>
      <c r="E834" s="28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28"/>
      <c r="E835" s="28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28"/>
      <c r="E836" s="28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28"/>
      <c r="E837" s="28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28"/>
      <c r="E838" s="28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28"/>
      <c r="E839" s="28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28"/>
      <c r="E840" s="28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28"/>
      <c r="E841" s="28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28"/>
      <c r="E842" s="28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28"/>
      <c r="E843" s="28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28"/>
      <c r="E844" s="28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28"/>
      <c r="E845" s="28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28"/>
      <c r="E846" s="28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28"/>
      <c r="E847" s="28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28"/>
      <c r="E848" s="28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28"/>
      <c r="E849" s="28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28"/>
      <c r="E850" s="28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28"/>
      <c r="E851" s="28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28"/>
      <c r="E852" s="28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28"/>
      <c r="E853" s="28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28"/>
      <c r="E854" s="28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28"/>
      <c r="E855" s="28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28"/>
      <c r="E856" s="28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28"/>
      <c r="E857" s="28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28"/>
      <c r="E858" s="28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28"/>
      <c r="E859" s="28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28"/>
      <c r="E860" s="28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28"/>
      <c r="E861" s="28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28"/>
      <c r="E862" s="28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28"/>
      <c r="E863" s="28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28"/>
      <c r="E864" s="28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28"/>
      <c r="E865" s="28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28"/>
      <c r="E866" s="28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28"/>
      <c r="E867" s="28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28"/>
      <c r="E868" s="28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28"/>
      <c r="E869" s="28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28"/>
      <c r="E870" s="28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28"/>
      <c r="E871" s="28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28"/>
      <c r="E872" s="28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28"/>
      <c r="E873" s="28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28"/>
      <c r="E874" s="28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28"/>
      <c r="E875" s="28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28"/>
      <c r="E876" s="28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28"/>
      <c r="E877" s="28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28"/>
      <c r="E878" s="28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28"/>
      <c r="E879" s="28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28"/>
      <c r="E880" s="28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28"/>
      <c r="E881" s="28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28"/>
      <c r="E882" s="28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28"/>
      <c r="E883" s="28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28"/>
      <c r="E884" s="28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28"/>
      <c r="E885" s="28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28"/>
      <c r="E886" s="28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28"/>
      <c r="E887" s="28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28"/>
      <c r="E888" s="28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28"/>
      <c r="E889" s="28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28"/>
      <c r="E890" s="28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28"/>
      <c r="E891" s="28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28"/>
      <c r="E892" s="28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28"/>
      <c r="E893" s="28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28"/>
      <c r="E894" s="28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28"/>
      <c r="E895" s="28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28"/>
      <c r="E896" s="28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28"/>
      <c r="E897" s="28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28"/>
      <c r="E898" s="28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28"/>
      <c r="E899" s="28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28"/>
      <c r="E900" s="28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28"/>
      <c r="E901" s="28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28"/>
      <c r="E902" s="28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28"/>
      <c r="E903" s="28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28"/>
      <c r="E904" s="28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28"/>
      <c r="E905" s="28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28"/>
      <c r="E906" s="28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28"/>
      <c r="E907" s="28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28"/>
      <c r="E908" s="28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28"/>
      <c r="E909" s="28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28"/>
      <c r="E910" s="28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28"/>
      <c r="E911" s="28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28"/>
      <c r="E912" s="28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28"/>
      <c r="E913" s="28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28"/>
      <c r="E914" s="28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28"/>
      <c r="E915" s="28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28"/>
      <c r="E916" s="28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28"/>
      <c r="E917" s="28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28"/>
      <c r="E918" s="28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28"/>
      <c r="E919" s="28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28"/>
      <c r="E920" s="28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28"/>
      <c r="E921" s="28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28"/>
      <c r="E922" s="28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28"/>
      <c r="E923" s="28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28"/>
      <c r="E924" s="28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28"/>
      <c r="E925" s="28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28"/>
      <c r="E926" s="28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28"/>
      <c r="E927" s="28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28"/>
      <c r="E928" s="28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28"/>
      <c r="E929" s="28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28"/>
      <c r="E930" s="28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28"/>
      <c r="E931" s="28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28"/>
      <c r="E932" s="28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28"/>
      <c r="E933" s="28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28"/>
      <c r="E934" s="28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28"/>
      <c r="E935" s="28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28"/>
      <c r="E936" s="28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28"/>
      <c r="E937" s="28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28"/>
      <c r="E938" s="28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28"/>
      <c r="E939" s="28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28"/>
      <c r="E940" s="28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28"/>
      <c r="E941" s="28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28"/>
      <c r="E942" s="28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28"/>
      <c r="E943" s="28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28"/>
      <c r="E944" s="28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28"/>
      <c r="E945" s="28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28"/>
      <c r="E946" s="28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28"/>
      <c r="E947" s="28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28"/>
      <c r="E948" s="28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28"/>
      <c r="E949" s="28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28"/>
      <c r="E950" s="28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28"/>
      <c r="E951" s="28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28"/>
      <c r="E952" s="28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28"/>
      <c r="E953" s="28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28"/>
      <c r="E954" s="28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28"/>
      <c r="E955" s="28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28"/>
      <c r="E956" s="28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28"/>
      <c r="E957" s="28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28"/>
      <c r="E958" s="28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28"/>
      <c r="E959" s="28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28"/>
      <c r="E960" s="28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28"/>
      <c r="E961" s="28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28"/>
      <c r="E962" s="28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28"/>
      <c r="E963" s="28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28"/>
      <c r="E964" s="28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28"/>
      <c r="E965" s="28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28"/>
      <c r="E966" s="28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28"/>
      <c r="E967" s="28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28"/>
      <c r="E968" s="28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28"/>
      <c r="E969" s="28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28"/>
      <c r="E970" s="28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28"/>
      <c r="E971" s="28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28"/>
      <c r="E972" s="28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28"/>
      <c r="E973" s="28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28"/>
      <c r="E974" s="28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28"/>
      <c r="E975" s="28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28"/>
      <c r="E976" s="28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28"/>
      <c r="E977" s="28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28"/>
      <c r="E978" s="28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28"/>
      <c r="E979" s="28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28"/>
      <c r="E980" s="28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28"/>
      <c r="E981" s="28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28"/>
      <c r="E982" s="28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28"/>
      <c r="E983" s="28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28"/>
      <c r="E984" s="28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28"/>
      <c r="E985" s="28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28"/>
      <c r="E986" s="28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28"/>
      <c r="E987" s="28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28"/>
      <c r="E988" s="28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28"/>
      <c r="E989" s="28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28"/>
      <c r="E990" s="28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28"/>
      <c r="E991" s="28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28"/>
      <c r="E992" s="28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28"/>
      <c r="E993" s="28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28"/>
      <c r="E994" s="28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28"/>
      <c r="E995" s="28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28"/>
      <c r="E996" s="28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28"/>
      <c r="E997" s="28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28"/>
      <c r="E998" s="28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28"/>
      <c r="E999" s="28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28"/>
      <c r="E1000" s="28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28"/>
      <c r="E1001" s="28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28"/>
      <c r="E1002" s="28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3">
    <mergeCell ref="A21:D21"/>
    <mergeCell ref="A22:C23"/>
    <mergeCell ref="D22:E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9" t="s">
        <v>2</v>
      </c>
      <c r="C2" s="29" t="s">
        <v>3</v>
      </c>
      <c r="D2" s="29" t="s">
        <v>4</v>
      </c>
    </row>
    <row r="3">
      <c r="B3" s="30" t="s">
        <v>6</v>
      </c>
      <c r="C3" s="30" t="s">
        <v>53</v>
      </c>
      <c r="D3" s="30" t="s">
        <v>8</v>
      </c>
    </row>
    <row r="4">
      <c r="B4" s="30" t="s">
        <v>10</v>
      </c>
      <c r="C4" s="30" t="s">
        <v>54</v>
      </c>
      <c r="D4" s="30" t="s">
        <v>12</v>
      </c>
    </row>
    <row r="5">
      <c r="B5" s="30" t="s">
        <v>14</v>
      </c>
      <c r="C5" s="30" t="s">
        <v>55</v>
      </c>
      <c r="D5" s="30" t="s">
        <v>16</v>
      </c>
    </row>
    <row r="6">
      <c r="B6" s="30" t="s">
        <v>18</v>
      </c>
      <c r="C6" s="30" t="s">
        <v>56</v>
      </c>
      <c r="D6" s="30" t="s">
        <v>20</v>
      </c>
    </row>
    <row r="7">
      <c r="B7" s="31"/>
    </row>
    <row r="8">
      <c r="B8" s="32" t="s">
        <v>57</v>
      </c>
    </row>
    <row r="9">
      <c r="B9" s="33" t="s">
        <v>58</v>
      </c>
    </row>
    <row r="10">
      <c r="B10" s="33" t="s">
        <v>59</v>
      </c>
    </row>
    <row r="11">
      <c r="B11" s="33" t="s">
        <v>60</v>
      </c>
    </row>
    <row r="12">
      <c r="B12" s="33" t="s">
        <v>61</v>
      </c>
    </row>
    <row r="13">
      <c r="B13" s="33" t="s">
        <v>62</v>
      </c>
    </row>
  </sheetData>
  <drawing r:id="rId1"/>
</worksheet>
</file>