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sil (otomatis)" sheetId="1" r:id="rId5"/>
    <sheet state="visible" name="Data" sheetId="2" r:id="rId6"/>
    <sheet state="visible" name="Guide" sheetId="3" r:id="rId7"/>
  </sheets>
  <definedNames/>
  <calcPr/>
</workbook>
</file>

<file path=xl/sharedStrings.xml><?xml version="1.0" encoding="utf-8"?>
<sst xmlns="http://schemas.openxmlformats.org/spreadsheetml/2006/main" count="86" uniqueCount="79">
  <si>
    <t>FIRING DECISION MATRIX (Performance/Risk Based)</t>
  </si>
  <si>
    <t>Gunakan matrix ini untuk menentukan apakah karyawan perlu dilanjutkan, dibina, atau di-firing</t>
  </si>
  <si>
    <t>RISIKO → PERFORMANCE ↓</t>
  </si>
  <si>
    <t>Rendah</t>
  </si>
  <si>
    <t>Sedang</t>
  </si>
  <si>
    <t>Tinggi</t>
  </si>
  <si>
    <t>Hasil Penilaian</t>
  </si>
  <si>
    <t>✅ Pertahankan</t>
  </si>
  <si>
    <t>⚠️ Monitor</t>
  </si>
  <si>
    <t>⚠️ Evaluasi</t>
  </si>
  <si>
    <t>Nama</t>
  </si>
  <si>
    <t>⚠️ Coaching</t>
  </si>
  <si>
    <t>⚠️ Pembinaan</t>
  </si>
  <si>
    <t>‼️ Warning</t>
  </si>
  <si>
    <t>Performance</t>
  </si>
  <si>
    <t>⚠️ SP1</t>
  </si>
  <si>
    <t>❗️ SP2/SP3</t>
  </si>
  <si>
    <t>❌ FIRING</t>
  </si>
  <si>
    <t>Risiko</t>
  </si>
  <si>
    <t>Rekomendasi Keputusan</t>
  </si>
  <si>
    <t>Posisi</t>
  </si>
  <si>
    <t>Attitude</t>
  </si>
  <si>
    <t>Attendance</t>
  </si>
  <si>
    <t>Risk Score</t>
  </si>
  <si>
    <t>Total Score</t>
  </si>
  <si>
    <t>Catatan HR</t>
  </si>
  <si>
    <t>Andi</t>
  </si>
  <si>
    <t>Marketing</t>
  </si>
  <si>
    <t>🧭 Cara Menggunakan Firing Decision Matrix</t>
  </si>
  <si>
    <t>1. Performance (1–10)</t>
  </si>
  <si>
    <t>2. Attitude (1–10)</t>
  </si>
  <si>
    <t>3. Attendance (1–10)</t>
  </si>
  <si>
    <t>Ikuti langkah berikut agar Anda bisa mengambil keputusan dengan objektif:</t>
  </si>
  <si>
    <t>Nilai berdasarkan:</t>
  </si>
  <si>
    <t>1️⃣ Isi Nilai Setiap Karyawan</t>
  </si>
  <si>
    <t>pencapaian target</t>
  </si>
  <si>
    <t>sikap terhadap atasan</t>
  </si>
  <si>
    <t>kehadiran</t>
  </si>
  <si>
    <t>kualitas kerja</t>
  </si>
  <si>
    <t>kerja sama tim</t>
  </si>
  <si>
    <t>ketepatan waktu</t>
  </si>
  <si>
    <t>Masukkan penilaian berdasarkan kondisi real:</t>
  </si>
  <si>
    <t>output</t>
  </si>
  <si>
    <t>tanggung jawab</t>
  </si>
  <si>
    <t>Performance (1–10) → berdasarkan pencapaian target &amp; kualitas kerja</t>
  </si>
  <si>
    <t>Attitude (1–10) → berdasarkan sikap, kerja sama, dan tanggung jawab</t>
  </si>
  <si>
    <t>Attendance (1–10) → berdasarkan kehadiran &amp; ketepatan waktu</t>
  </si>
  <si>
    <t>8–10 = bagus</t>
  </si>
  <si>
    <t>5–7 = cukup</t>
  </si>
  <si>
    <t>&lt;5 = bermasalah</t>
  </si>
  <si>
    <t>👉 Gunakan data, bukan perasaan.</t>
  </si>
  <si>
    <t>2️⃣ Pilih Status Improvement</t>
  </si>
  <si>
    <t>Pilih salah satu:</t>
  </si>
  <si>
    <t>Naik → ada peningkatan performa</t>
  </si>
  <si>
    <t>Stagnan → tidak ada perubahan signifikan</t>
  </si>
  <si>
    <t>Turun → performa memburuk</t>
  </si>
  <si>
    <t>👉 Lihat dari 1–2 bulan terakhir.</t>
  </si>
  <si>
    <t>3️⃣ Biarkan Sistem Menghitung Otomatis</t>
  </si>
  <si>
    <t>Total score akan muncul otomatis</t>
  </si>
  <si>
    <t>Rekomendasi akan muncul:</t>
  </si>
  <si>
    <t>Pertahankan / Coaching / Warning / Exit</t>
  </si>
  <si>
    <t>👉 Anda tidak perlu menghitung manual.</t>
  </si>
  <si>
    <t>4️⃣ Fokus pada Attitude &amp; Trend</t>
  </si>
  <si>
    <t>Jangan hanya lihat skor total.</t>
  </si>
  <si>
    <t>Perhatikan juga:</t>
  </si>
  <si>
    <t>Attitude rendah → prioritas evaluasi</t>
  </si>
  <si>
    <t>Improvement “Turun” → sinyal bahaya</t>
  </si>
  <si>
    <t>👉 Banyak kasus firing bukan karena skill, tapi karena attitude.</t>
  </si>
  <si>
    <t>5️⃣ Gunakan Sebagai Dasar Keputusan (Bukan Satu-satunya)</t>
  </si>
  <si>
    <t>Matrix ini membantu Anda:</t>
  </si>
  <si>
    <t>✔ Menghindari keputusan berdasarkan feeling</t>
  </si>
  <si>
    <t>✔ Melihat kondisi karyawan secara objektif</t>
  </si>
  <si>
    <t>Namun tetap kombinasikan dengan:</t>
  </si>
  <si>
    <t>observasi langsung</t>
  </si>
  <si>
    <t>hasil kerja nyata</t>
  </si>
  <si>
    <t>6️⃣ Lanjutkan ke Tahap Berikutnya</t>
  </si>
  <si>
    <t>Setelah mendapatkan rekomendasi:</t>
  </si>
  <si>
    <t>Coaching / Warning → lanjut ke SOP Firing (File #4)</t>
  </si>
  <si>
    <t>Exit → lanjut ke Conversation Script &amp; Document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</si>
</sst>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9.0"/>
      <color rgb="FFFFFFFF"/>
      <name val="Arial"/>
      <scheme val="minor"/>
    </font>
    <font>
      <color rgb="FF6B728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7.0"/>
      <color theme="1"/>
      <name val="Roboto"/>
    </font>
    <font>
      <b/>
      <sz val="15.0"/>
      <color theme="1"/>
      <name val="Arial"/>
      <scheme val="minor"/>
    </font>
    <font>
      <sz val="10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073763"/>
        <bgColor rgb="FF073763"/>
      </patternFill>
    </fill>
    <fill>
      <patternFill patternType="solid">
        <fgColor rgb="FF434343"/>
        <bgColor rgb="FF434343"/>
      </patternFill>
    </fill>
    <fill>
      <patternFill patternType="solid">
        <fgColor rgb="FF38761D"/>
        <bgColor rgb="FF38761D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B45F06"/>
        <bgColor rgb="FFB45F06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5" fontId="4" numFmtId="0" xfId="0" applyAlignment="1" applyFill="1" applyFont="1">
      <alignment horizontal="center" readingOrder="0" vertical="center"/>
    </xf>
    <xf borderId="0" fillId="6" fontId="6" numFmtId="0" xfId="0" applyAlignment="1" applyFill="1" applyFont="1">
      <alignment horizontal="center" readingOrder="0" vertical="center"/>
    </xf>
    <xf borderId="0" fillId="7" fontId="4" numFmtId="0" xfId="0" applyAlignment="1" applyFill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8" fontId="4" numFmtId="0" xfId="0" applyAlignment="1" applyFill="1" applyFont="1">
      <alignment horizontal="center" readingOrder="0" vertical="center"/>
    </xf>
    <xf borderId="0" fillId="0" fontId="6" numFmtId="0" xfId="0" applyFont="1"/>
    <xf borderId="0" fillId="9" fontId="4" numFmtId="0" xfId="0" applyAlignment="1" applyFill="1" applyFont="1">
      <alignment horizontal="center" readingOrder="0" vertical="center"/>
    </xf>
    <xf borderId="0" fillId="10" fontId="7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38761D"/>
          <bgColor rgb="FF38761D"/>
        </patternFill>
      </fill>
      <border/>
    </dxf>
    <dxf>
      <font>
        <b/>
        <color rgb="FFFFFFFF"/>
      </font>
      <fill>
        <patternFill patternType="solid">
          <fgColor rgb="FFFF9900"/>
          <bgColor rgb="FFFF9900"/>
        </patternFill>
      </fill>
      <border/>
    </dxf>
    <dxf>
      <font>
        <b/>
        <color rgb="FF000000"/>
      </font>
      <fill>
        <patternFill patternType="solid">
          <fgColor rgb="FFFFD966"/>
          <bgColor rgb="FFFFD966"/>
        </patternFill>
      </fill>
      <border/>
    </dxf>
    <dxf>
      <font>
        <b/>
        <color rgb="FFFFFFFF"/>
      </font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6" max="6" width="14.5"/>
    <col customWidth="1" min="7" max="7" width="16.13"/>
  </cols>
  <sheetData>
    <row r="1">
      <c r="A1" s="1" t="s">
        <v>0</v>
      </c>
    </row>
    <row r="2" ht="27.75" customHeight="1">
      <c r="A2" s="2" t="s">
        <v>1</v>
      </c>
    </row>
    <row r="4" ht="29.25" customHeight="1">
      <c r="A4" s="3" t="s">
        <v>2</v>
      </c>
      <c r="B4" s="4" t="s">
        <v>3</v>
      </c>
      <c r="C4" s="4" t="s">
        <v>4</v>
      </c>
      <c r="D4" s="4" t="s">
        <v>5</v>
      </c>
      <c r="F4" s="5" t="s">
        <v>6</v>
      </c>
    </row>
    <row r="5" ht="21.0" customHeight="1">
      <c r="A5" s="6" t="s">
        <v>5</v>
      </c>
      <c r="B5" s="7" t="s">
        <v>7</v>
      </c>
      <c r="C5" s="8" t="s">
        <v>8</v>
      </c>
      <c r="D5" s="9" t="s">
        <v>9</v>
      </c>
      <c r="F5" s="10" t="s">
        <v>10</v>
      </c>
      <c r="G5" s="11" t="str">
        <f>Data!A2</f>
        <v>Andi</v>
      </c>
    </row>
    <row r="6" ht="21.0" customHeight="1">
      <c r="A6" s="6" t="s">
        <v>4</v>
      </c>
      <c r="B6" s="8" t="s">
        <v>11</v>
      </c>
      <c r="C6" s="9" t="s">
        <v>12</v>
      </c>
      <c r="D6" s="12" t="s">
        <v>13</v>
      </c>
      <c r="F6" s="10" t="s">
        <v>14</v>
      </c>
      <c r="G6" s="11">
        <f>Data!C2</f>
        <v>4</v>
      </c>
      <c r="H6" s="13" t="str">
        <f>IFERROR(__xludf.DUMMYFUNCTION("sparkline(G6,{""charttype"",""bar"";""max"",10;""color1"",""#69f11c""})"),"")</f>
        <v/>
      </c>
    </row>
    <row r="7" ht="21.0" customHeight="1">
      <c r="A7" s="6" t="s">
        <v>3</v>
      </c>
      <c r="B7" s="8" t="s">
        <v>15</v>
      </c>
      <c r="C7" s="12" t="s">
        <v>16</v>
      </c>
      <c r="D7" s="14" t="s">
        <v>17</v>
      </c>
      <c r="F7" s="10" t="s">
        <v>18</v>
      </c>
      <c r="G7" s="11">
        <f>Data!F2</f>
        <v>7.5</v>
      </c>
      <c r="H7" s="13" t="str">
        <f>IFERROR(__xludf.DUMMYFUNCTION("sparkline(G7,{""charttype"",""bar"";""max"",10;""color1"",""#de0000""})"),"")</f>
        <v/>
      </c>
    </row>
    <row r="9">
      <c r="F9" s="15" t="s">
        <v>19</v>
      </c>
    </row>
    <row r="10">
      <c r="F10" s="16" t="str">
        <f>IF(AND(G6&lt;=4,G7&gt;=7),"❌ FIRING",
IF(AND(G6&lt;=6,G7&gt;=6),"🚨 WARNING",
IF(AND(G6&gt;=7,G7&lt;=4),"✅ PERTAHANKAN","📝 EVALUASI")))</f>
        <v>❌ FIRING</v>
      </c>
    </row>
  </sheetData>
  <mergeCells count="5">
    <mergeCell ref="A1:H1"/>
    <mergeCell ref="A2:H2"/>
    <mergeCell ref="F4:G4"/>
    <mergeCell ref="F9:G9"/>
    <mergeCell ref="F10:G11"/>
  </mergeCells>
  <conditionalFormatting sqref="F10:G11">
    <cfRule type="containsText" dxfId="0" priority="1" operator="containsText" text="pertahankan">
      <formula>NOT(ISERROR(SEARCH(("pertahankan"),(F10))))</formula>
    </cfRule>
  </conditionalFormatting>
  <conditionalFormatting sqref="F10:G11">
    <cfRule type="containsText" dxfId="1" priority="2" operator="containsText" text="warning">
      <formula>NOT(ISERROR(SEARCH(("warning"),(F10))))</formula>
    </cfRule>
  </conditionalFormatting>
  <conditionalFormatting sqref="F10:G11">
    <cfRule type="containsText" dxfId="2" priority="3" operator="containsText" text="evaluasi">
      <formula>NOT(ISERROR(SEARCH(("evaluasi"),(F10))))</formula>
    </cfRule>
  </conditionalFormatting>
  <conditionalFormatting sqref="F10:G11">
    <cfRule type="containsText" dxfId="3" priority="4" operator="containsText" text="firing">
      <formula>NOT(ISERROR(SEARCH(("firing"),(F10))))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5" width="11.63"/>
    <col customWidth="1" min="6" max="6" width="20.25"/>
    <col customWidth="1" min="7" max="7" width="16.88"/>
    <col customWidth="1" min="8" max="8" width="20.25"/>
  </cols>
  <sheetData>
    <row r="1">
      <c r="A1" s="17" t="s">
        <v>10</v>
      </c>
      <c r="B1" s="17" t="s">
        <v>20</v>
      </c>
      <c r="C1" s="17" t="s">
        <v>14</v>
      </c>
      <c r="D1" s="17" t="s">
        <v>21</v>
      </c>
      <c r="E1" s="17" t="s">
        <v>22</v>
      </c>
      <c r="F1" s="17" t="s">
        <v>23</v>
      </c>
      <c r="G1" s="17" t="s">
        <v>24</v>
      </c>
      <c r="H1" s="18" t="s">
        <v>25</v>
      </c>
    </row>
    <row r="2">
      <c r="A2" s="10" t="s">
        <v>26</v>
      </c>
      <c r="B2" s="10" t="s">
        <v>27</v>
      </c>
      <c r="C2" s="10">
        <v>4.0</v>
      </c>
      <c r="D2" s="10">
        <v>2.0</v>
      </c>
      <c r="E2" s="10">
        <v>5.0</v>
      </c>
      <c r="F2" s="10">
        <f>11-((D2+E2)/2)</f>
        <v>7.5</v>
      </c>
      <c r="G2" s="13">
        <f>(C2*0.4)+(D2*0.4)+(E2*0.2)</f>
        <v>3.4</v>
      </c>
    </row>
    <row r="3">
      <c r="C3" s="13"/>
      <c r="D3" s="13"/>
      <c r="E3" s="13"/>
    </row>
    <row r="4">
      <c r="C4" s="13"/>
      <c r="D4" s="13"/>
      <c r="E4" s="13"/>
    </row>
    <row r="5">
      <c r="C5" s="13"/>
      <c r="D5" s="13"/>
      <c r="E5" s="13"/>
    </row>
    <row r="6">
      <c r="C6" s="13"/>
      <c r="D6" s="13"/>
      <c r="E6" s="13"/>
    </row>
    <row r="7">
      <c r="C7" s="13"/>
      <c r="D7" s="13"/>
      <c r="E7" s="13"/>
    </row>
  </sheetData>
  <dataValidations>
    <dataValidation type="list" allowBlank="1" showErrorMessage="1" sqref="C2:E7">
      <formula1>"1,2,3,4,5,6,7,8,9,10"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19"/>
      <c r="B2" s="20" t="s">
        <v>28</v>
      </c>
      <c r="C2" s="20"/>
      <c r="D2" s="20"/>
      <c r="E2" s="20"/>
      <c r="F2" s="20"/>
      <c r="G2" s="20" t="s">
        <v>29</v>
      </c>
      <c r="H2" s="19"/>
      <c r="I2" s="20" t="s">
        <v>30</v>
      </c>
      <c r="J2" s="19"/>
      <c r="K2" s="20" t="s">
        <v>31</v>
      </c>
      <c r="L2" s="19"/>
      <c r="M2" s="20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>
      <c r="A4" s="19"/>
      <c r="B4" s="20" t="s">
        <v>32</v>
      </c>
      <c r="C4" s="20"/>
      <c r="D4" s="20"/>
      <c r="E4" s="20"/>
      <c r="F4" s="20"/>
      <c r="G4" s="20" t="s">
        <v>33</v>
      </c>
      <c r="H4" s="19"/>
      <c r="I4" s="20" t="s">
        <v>33</v>
      </c>
      <c r="J4" s="19"/>
      <c r="K4" s="20" t="s">
        <v>33</v>
      </c>
      <c r="L4" s="19"/>
      <c r="M4" s="20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>
      <c r="A6" s="19"/>
      <c r="B6" s="20" t="s">
        <v>34</v>
      </c>
      <c r="C6" s="20"/>
      <c r="D6" s="20"/>
      <c r="E6" s="20"/>
      <c r="F6" s="20"/>
      <c r="G6" s="20" t="s">
        <v>35</v>
      </c>
      <c r="H6" s="19"/>
      <c r="I6" s="20" t="s">
        <v>36</v>
      </c>
      <c r="J6" s="19"/>
      <c r="K6" s="20" t="s">
        <v>37</v>
      </c>
      <c r="L6" s="19"/>
      <c r="M6" s="20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>
      <c r="A7" s="19"/>
      <c r="B7" s="21"/>
      <c r="C7" s="20"/>
      <c r="D7" s="20"/>
      <c r="E7" s="20"/>
      <c r="F7" s="20"/>
      <c r="G7" s="20" t="s">
        <v>38</v>
      </c>
      <c r="H7" s="19"/>
      <c r="I7" s="20" t="s">
        <v>39</v>
      </c>
      <c r="J7" s="19"/>
      <c r="K7" s="20" t="s">
        <v>40</v>
      </c>
      <c r="L7" s="19"/>
      <c r="M7" s="20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>
      <c r="A8" s="19"/>
      <c r="B8" s="20" t="s">
        <v>41</v>
      </c>
      <c r="C8" s="20"/>
      <c r="D8" s="20"/>
      <c r="E8" s="20"/>
      <c r="F8" s="20"/>
      <c r="G8" s="20" t="s">
        <v>42</v>
      </c>
      <c r="H8" s="19"/>
      <c r="I8" s="20" t="s">
        <v>43</v>
      </c>
      <c r="J8" s="19"/>
      <c r="K8" s="20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20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>
      <c r="A10" s="19"/>
      <c r="B10" s="20" t="s">
        <v>44</v>
      </c>
      <c r="C10" s="20"/>
      <c r="D10" s="20"/>
      <c r="E10" s="20"/>
      <c r="F10" s="20"/>
      <c r="G10" s="20"/>
      <c r="H10" s="19"/>
      <c r="I10" s="20"/>
      <c r="J10" s="19"/>
      <c r="K10" s="19"/>
      <c r="L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>
      <c r="A11" s="19"/>
      <c r="B11" s="20" t="s">
        <v>45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0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>
      <c r="A12" s="19"/>
      <c r="B12" s="20" t="s">
        <v>46</v>
      </c>
      <c r="C12" s="20"/>
      <c r="D12" s="20"/>
      <c r="E12" s="20"/>
      <c r="F12" s="20"/>
      <c r="H12" s="19"/>
      <c r="I12" s="19"/>
      <c r="J12" s="19"/>
      <c r="K12" s="19"/>
      <c r="L12" s="19"/>
      <c r="M12" s="20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</row>
    <row r="13">
      <c r="A13" s="19"/>
      <c r="B13" s="21"/>
      <c r="C13" s="20"/>
      <c r="D13" s="20"/>
      <c r="E13" s="20"/>
      <c r="F13" s="20"/>
      <c r="G13" s="20"/>
      <c r="H13" s="19"/>
      <c r="I13" s="19"/>
      <c r="J13" s="19"/>
      <c r="K13" s="19"/>
      <c r="L13" s="19"/>
      <c r="M13" s="20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</row>
    <row r="14">
      <c r="A14" s="19"/>
      <c r="B14" s="20" t="s">
        <v>47</v>
      </c>
      <c r="C14" s="20"/>
      <c r="D14" s="20"/>
      <c r="E14" s="20"/>
      <c r="F14" s="20"/>
      <c r="G14" s="20"/>
      <c r="H14" s="19"/>
      <c r="I14" s="19"/>
      <c r="J14" s="19"/>
      <c r="K14" s="19"/>
      <c r="L14" s="19"/>
      <c r="M14" s="20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>
      <c r="A15" s="19"/>
      <c r="B15" s="20" t="s">
        <v>48</v>
      </c>
      <c r="C15" s="20"/>
      <c r="D15" s="20"/>
      <c r="E15" s="20"/>
      <c r="F15" s="20"/>
      <c r="G15" s="20"/>
      <c r="H15" s="19"/>
      <c r="I15" s="19"/>
      <c r="J15" s="19"/>
      <c r="K15" s="19"/>
      <c r="L15" s="19"/>
      <c r="M15" s="20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>
      <c r="A16" s="19"/>
      <c r="B16" s="20" t="s">
        <v>49</v>
      </c>
      <c r="C16" s="20"/>
      <c r="D16" s="20"/>
      <c r="E16" s="20"/>
      <c r="F16" s="20"/>
      <c r="G16" s="20"/>
      <c r="H16" s="19"/>
      <c r="I16" s="19"/>
      <c r="J16" s="19"/>
      <c r="K16" s="19"/>
      <c r="L16" s="19"/>
      <c r="M16" s="20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</row>
    <row r="17">
      <c r="A17" s="19"/>
      <c r="B17" s="21"/>
      <c r="C17" s="20"/>
      <c r="D17" s="20"/>
      <c r="E17" s="20"/>
      <c r="F17" s="20"/>
      <c r="H17" s="19"/>
      <c r="I17" s="19"/>
      <c r="J17" s="19"/>
      <c r="K17" s="19"/>
      <c r="L17" s="19"/>
      <c r="M17" s="20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</row>
    <row r="18">
      <c r="A18" s="19"/>
      <c r="B18" s="20" t="s">
        <v>50</v>
      </c>
      <c r="C18" s="20"/>
      <c r="D18" s="20"/>
      <c r="E18" s="20"/>
      <c r="F18" s="20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  <row r="20">
      <c r="A20" s="19"/>
      <c r="B20" s="20" t="s">
        <v>51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>
      <c r="A22" s="19"/>
      <c r="B22" s="20" t="s">
        <v>52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</row>
    <row r="24">
      <c r="A24" s="19"/>
      <c r="B24" s="20" t="s">
        <v>53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>
      <c r="A25" s="19"/>
      <c r="B25" s="20" t="s">
        <v>54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>
      <c r="A26" s="19"/>
      <c r="B26" s="20" t="s">
        <v>55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>
      <c r="A28" s="19"/>
      <c r="B28" s="20" t="s">
        <v>56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>
      <c r="A30" s="19"/>
      <c r="B30" s="20" t="s">
        <v>57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>
      <c r="A31" s="19"/>
      <c r="B31" s="20" t="s">
        <v>58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</row>
    <row r="32">
      <c r="A32" s="19"/>
      <c r="B32" s="20" t="s">
        <v>59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>
      <c r="A33" s="19"/>
      <c r="B33" s="20" t="s">
        <v>60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>
      <c r="A35" s="19"/>
      <c r="B35" s="20" t="s">
        <v>61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>
      <c r="A37" s="19"/>
      <c r="B37" s="20" t="s">
        <v>62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>
      <c r="A39" s="19"/>
      <c r="B39" s="20" t="s">
        <v>63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>
      <c r="A41" s="19"/>
      <c r="B41" s="20" t="s">
        <v>64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>
      <c r="A43" s="19"/>
      <c r="B43" s="20" t="s">
        <v>65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>
      <c r="A44" s="19"/>
      <c r="B44" s="20" t="s">
        <v>66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>
      <c r="A46" s="19"/>
      <c r="B46" s="20" t="s">
        <v>67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>
      <c r="A48" s="19"/>
      <c r="B48" s="20" t="s">
        <v>68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>
      <c r="A50" s="19"/>
      <c r="B50" s="20" t="s">
        <v>69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>
      <c r="A52" s="19"/>
      <c r="B52" s="20" t="s">
        <v>70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>
      <c r="A53" s="19"/>
      <c r="B53" s="20" t="s">
        <v>71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>
      <c r="A55" s="19"/>
      <c r="B55" s="20" t="s">
        <v>72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>
      <c r="A57" s="19"/>
      <c r="B57" s="20" t="s">
        <v>73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>
      <c r="A58" s="19"/>
      <c r="B58" s="20" t="s">
        <v>74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>
      <c r="A59" s="19"/>
      <c r="B59" s="20" t="s">
        <v>75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>
      <c r="A61" s="19"/>
      <c r="B61" s="20" t="s">
        <v>76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</row>
    <row r="63">
      <c r="A63" s="19"/>
      <c r="B63" s="20" t="s">
        <v>77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</row>
    <row r="64">
      <c r="A64" s="19"/>
      <c r="B64" s="20" t="s">
        <v>78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</row>
    <row r="100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</row>
    <row r="100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</row>
    <row r="1003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</row>
    <row r="1004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</row>
  </sheetData>
  <drawing r:id="rId1"/>
</worksheet>
</file>