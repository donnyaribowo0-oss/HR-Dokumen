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macbook/Documents/Prodig/Rekrutmen Mudah/Firing System 101/"/>
    </mc:Choice>
  </mc:AlternateContent>
  <xr:revisionPtr revIDLastSave="0" documentId="8_{C963A0EE-B655-4041-BD68-6AB5FEE6848F}" xr6:coauthVersionLast="47" xr6:coauthVersionMax="47" xr10:uidLastSave="{00000000-0000-0000-0000-000000000000}"/>
  <bookViews>
    <workbookView xWindow="0" yWindow="500" windowWidth="28800" windowHeight="16260" tabRatio="500" xr2:uid="{00000000-000D-0000-FFFF-FFFF00000000}"/>
  </bookViews>
  <sheets>
    <sheet name="Kalkulator" sheetId="1" r:id="rId1"/>
    <sheet name="Tabel Acua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5" i="1" l="1"/>
  <c r="D34" i="1"/>
  <c r="C33" i="1"/>
  <c r="D27" i="1"/>
  <c r="D36" i="1" s="1"/>
  <c r="D26" i="1"/>
  <c r="D25" i="1"/>
  <c r="D11" i="1"/>
  <c r="D23" i="1" s="1"/>
  <c r="D8" i="1"/>
  <c r="D17" i="1" s="1"/>
  <c r="D33" i="1" s="1"/>
  <c r="C31" i="1" l="1"/>
  <c r="D24" i="1"/>
  <c r="C32" i="1" s="1"/>
  <c r="C36" i="1"/>
  <c r="D31" i="1"/>
  <c r="D32" i="1" l="1"/>
  <c r="D37" i="1" s="1"/>
  <c r="D39" i="1" l="1"/>
  <c r="D40" i="1" s="1"/>
</calcChain>
</file>

<file path=xl/sharedStrings.xml><?xml version="1.0" encoding="utf-8"?>
<sst xmlns="http://schemas.openxmlformats.org/spreadsheetml/2006/main" count="140" uniqueCount="110">
  <si>
    <t>KALKULATOR PESANGON PHK</t>
  </si>
  <si>
    <t>Berdasarkan UU Cipta Kerja &amp; PP No. 35 Tahun 2021  |  Isi sel berwarna kuning</t>
  </si>
  <si>
    <t>1   DATA KARYAWAN &amp; UPAH</t>
  </si>
  <si>
    <t>Nama Karyawan</t>
  </si>
  <si>
    <t>Upah Pokok (Rp/bulan)</t>
  </si>
  <si>
    <t>Tunjangan Tetap (Rp/bulan)</t>
  </si>
  <si>
    <t>Upah Dasar Pesangon (Rp)</t>
  </si>
  <si>
    <t>Masa Kerja - Tahun</t>
  </si>
  <si>
    <t>Masa Kerja - Bulan (0-11)</t>
  </si>
  <si>
    <t>Total Masa Kerja (tahun)</t>
  </si>
  <si>
    <t>Alasan PHK  (pilih dari daftar)</t>
  </si>
  <si>
    <t>Penggabungan/peleburan/pengambilalihan - pekerja tidak lanjut</t>
  </si>
  <si>
    <t>2   INPUT UANG PENGGANTIAN HAK (UPH)</t>
  </si>
  <si>
    <t>Sisa Cuti Tahunan (hari)</t>
  </si>
  <si>
    <t>Pembagi Upah Harian (default 25)</t>
  </si>
  <si>
    <t>Nilai Penggantian Cuti (Rp)</t>
  </si>
  <si>
    <t>Biaya/Ongkos Pulang (Rp)</t>
  </si>
  <si>
    <t>Hak Lain sesuai PK/PP/PKB (Rp)</t>
  </si>
  <si>
    <t>Uang Pisah (Rp) - jika berlaku</t>
  </si>
  <si>
    <t>3   PARAMETER OTOMATIS (terbaca dari Tabel Acuan)</t>
  </si>
  <si>
    <t>Pengali bulan UP (dari masa kerja)</t>
  </si>
  <si>
    <t>Pengali bulan UPMK (dari masa kerja)</t>
  </si>
  <si>
    <t>Faktor pengali UP (dari alasan PHK)</t>
  </si>
  <si>
    <t>Faktor pengali UPMK (dari alasan PHK)</t>
  </si>
  <si>
    <t>Uang pisah berlaku?</t>
  </si>
  <si>
    <t>4   HASIL PERHITUNGAN</t>
  </si>
  <si>
    <t>Komponen</t>
  </si>
  <si>
    <t>Dasar Perhitungan</t>
  </si>
  <si>
    <t>Jumlah (Rp)</t>
  </si>
  <si>
    <t>Uang Pesangon (UP)</t>
  </si>
  <si>
    <t>Uang Penghargaan Masa Kerja (UPMK)</t>
  </si>
  <si>
    <t>UPH - Penggantian Cuti</t>
  </si>
  <si>
    <t>UPH - Ongkos Pulang</t>
  </si>
  <si>
    <t>Input manual</t>
  </si>
  <si>
    <t>UPH - Hak Lain (PK/PP/PKB)</t>
  </si>
  <si>
    <t>Uang Pisah</t>
  </si>
  <si>
    <t>TOTAL BRUTO YANG DIBAYARKAN</t>
  </si>
  <si>
    <t>Jumlah seluruh komponen di atas</t>
  </si>
  <si>
    <t>Estimasi PPh 21 Final (potongan)</t>
  </si>
  <si>
    <t>PP 68/2009: 0%/5%/15%/25% berjenjang</t>
  </si>
  <si>
    <t>TOTAL NETO DITERIMA KARYAWAN</t>
  </si>
  <si>
    <t>Total bruto - estimasi pajak</t>
  </si>
  <si>
    <t>• Cara pakai: isi sel KUNING (upah, masa kerja, pilih alasan PHK dari dropdown, komponen UPH). Hasil terhitung otomatis.</t>
  </si>
  <si>
    <t>• Upah dasar = upah pokok + tunjangan tetap. Tunjangan tidak tetap (uang makan/transport berbasis kehadiran) TIDAK dihitung.</t>
  </si>
  <si>
    <t>• Penggantian cuti default = sisa cuti x (upah bulanan / 25). Ubah pembagi bila kebijakan perusahaan berbeda.</t>
  </si>
  <si>
    <t>• Uang pisah hanya dibayar untuk skenario tertentu (resign, mangkir, pelanggaran berat, dll) dan besarannya per PK/PP/PKB.</t>
  </si>
  <si>
    <t>• Estimasi PPh 21 berlaku bila pesangon dibayar sekaligus (dalam 2 tahun). Konsultasikan dengan konsultan pajak/hukum untuk kasus riil.</t>
  </si>
  <si>
    <t>• Angka pesangon ini bersifat MINIMUM menurut UU. Perusahaan boleh memberi lebih besar (Putusan MK 168/2023).</t>
  </si>
  <si>
    <t>TABEL UANG PESANGON (UP)</t>
  </si>
  <si>
    <t>TABEL PENGHARGAAN MASA KERJA (UPMK)</t>
  </si>
  <si>
    <t>Masa kerja (thn, batas bawah)</t>
  </si>
  <si>
    <t>Pengali (bulan upah)</t>
  </si>
  <si>
    <t>TABEL FAKTOR PENGALI BERDASARKAN ALASAN PHK  (PP No. 35 Tahun 2021)</t>
  </si>
  <si>
    <t>No</t>
  </si>
  <si>
    <t>Alasan PHK</t>
  </si>
  <si>
    <t>Pengali UP</t>
  </si>
  <si>
    <t>Pengali UPMK</t>
  </si>
  <si>
    <t>Catatan</t>
  </si>
  <si>
    <t>Tidak</t>
  </si>
  <si>
    <t>Pekerja tidak bersedia melanjutkan</t>
  </si>
  <si>
    <t>Pengambilalihan - syarat kerja berubah, pekerja menolak</t>
  </si>
  <si>
    <t>Hanya jika pekerja menolak syarat baru</t>
  </si>
  <si>
    <t>Efisiensi akibat kerugian</t>
  </si>
  <si>
    <t>Kerugian harus dibuktikan (audit)</t>
  </si>
  <si>
    <t>Efisiensi untuk mencegah kerugian</t>
  </si>
  <si>
    <t>Pencegahan kerugian</t>
  </si>
  <si>
    <t>Perusahaan tutup karena rugi terus-menerus 2 tahun</t>
  </si>
  <si>
    <t>Tutup karena rugi</t>
  </si>
  <si>
    <t>Perusahaan tutup bukan karena rugi</t>
  </si>
  <si>
    <t>Tutup bukan karena rugi</t>
  </si>
  <si>
    <t>Perusahaan tutup karena force majeure</t>
  </si>
  <si>
    <t>Bencana/keadaan memaksa</t>
  </si>
  <si>
    <t>Force majeure tanpa penutupan perusahaan</t>
  </si>
  <si>
    <t>Perusahaan tetap beroperasi</t>
  </si>
  <si>
    <t>PKPU karena perusahaan rugi</t>
  </si>
  <si>
    <t>Penundaan kewajiban pembayaran utang</t>
  </si>
  <si>
    <t>PKPU bukan karena perusahaan rugi</t>
  </si>
  <si>
    <t>Perusahaan pailit</t>
  </si>
  <si>
    <t>Dinyatakan pailit oleh pengadilan</t>
  </si>
  <si>
    <t>Permohonan PHK oleh pekerja (pengusaha melanggar)</t>
  </si>
  <si>
    <t>Pengusaha terbukti melanggar hak pekerja</t>
  </si>
  <si>
    <t>Putusan PHI - pengusaha tidak bersalah</t>
  </si>
  <si>
    <t>Ya</t>
  </si>
  <si>
    <t>Gugatan pekerja ditolak; + uang pisah</t>
  </si>
  <si>
    <t>Pekerja mengundurkan diri sukarela</t>
  </si>
  <si>
    <t>Resign; hanya UPH + uang pisah</t>
  </si>
  <si>
    <t>Pekerja mangkir 5 hari berturut-turut</t>
  </si>
  <si>
    <t>Tanpa keterangan; + uang pisah</t>
  </si>
  <si>
    <t>Pekerja melanggar PK/PP/PKB (setelah SP I-II-III)</t>
  </si>
  <si>
    <t>Sudah diberi SP 1, 2, 3</t>
  </si>
  <si>
    <t>Pekerja melakukan pelanggaran berat/mendesak</t>
  </si>
  <si>
    <t>Pelanggaran mendesak; + uang pisah</t>
  </si>
  <si>
    <t>Pekerja ditahan 6 bln - pidana merugikan perusahaan</t>
  </si>
  <si>
    <t>+ uang pisah</t>
  </si>
  <si>
    <t>Pekerja ditahan 6 bln - pidana tidak merugikan perusahaan</t>
  </si>
  <si>
    <t>Hanya UPMK + UPH</t>
  </si>
  <si>
    <t>Pekerja divonis bersalah - pidana merugikan perusahaan</t>
  </si>
  <si>
    <t>Pekerja divonis bersalah - pidana tidak merugikan perusahaan</t>
  </si>
  <si>
    <t>Sakit berkepanjangan/cacat kerja (lebih dari 12 bulan)</t>
  </si>
  <si>
    <t>Akibat kecelakaan/penyakit kerja</t>
  </si>
  <si>
    <t>Pekerja memasuki usia pensiun</t>
  </si>
  <si>
    <t>Pesangon pensiun</t>
  </si>
  <si>
    <t>Pekerja meninggal dunia</t>
  </si>
  <si>
    <t>Dibayarkan kepada ahli waris</t>
  </si>
  <si>
    <t>• Dasar perhitungan upah = upah pokok + tunjangan tetap (UU Cipta Kerja).</t>
  </si>
  <si>
    <t>• Maksimal UP = 9 bulan upah; maksimal UPMK = 10 bulan upah. UPMK hanya untuk masa kerja minimal 3 tahun.</t>
  </si>
  <si>
    <t>• UPH selalu dibayarkan: sisa cuti tahunan, ongkos pulang pekerja+keluarga, dan hak lain sesuai PK/PP/PKB.</t>
  </si>
  <si>
    <t>• Uang pisah besarannya ditetapkan dalam PK/PP/PKB perusahaan (diisi manual pada sheet Kalkulator).</t>
  </si>
  <si>
    <t>• Ketentuan ini bersifat MINIMUM. Perusahaan boleh memberi lebih besar lewat PKB (Putusan MK 168/2023).</t>
  </si>
  <si>
    <t>Ilham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</si>
</sst>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;&quot;(Rp&quot;#,##0\);\-"/>
  </numFmts>
  <fonts count="14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9"/>
      <color rgb="FF595959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sz val="9"/>
      <color rgb="FF0000FF"/>
      <name val="Arial"/>
      <charset val="1"/>
    </font>
    <font>
      <b/>
      <sz val="9"/>
      <color rgb="FFFFFFFF"/>
      <name val="Arial"/>
      <charset val="1"/>
    </font>
    <font>
      <sz val="9"/>
      <color rgb="FF404040"/>
      <name val="Arial"/>
      <charset val="1"/>
    </font>
    <font>
      <sz val="8"/>
      <color rgb="FF808080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sz val="10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DEE6F2"/>
        <bgColor rgb="FFD9E1F2"/>
      </patternFill>
    </fill>
    <fill>
      <patternFill patternType="solid">
        <fgColor rgb="FF2F5496"/>
        <bgColor rgb="FF1F3864"/>
      </patternFill>
    </fill>
    <fill>
      <patternFill patternType="solid">
        <fgColor rgb="FFFFF4CC"/>
        <bgColor rgb="FFF2F2F2"/>
      </patternFill>
    </fill>
    <fill>
      <patternFill patternType="solid">
        <fgColor rgb="FFD9E1F2"/>
        <bgColor rgb="FFDEE6F2"/>
      </patternFill>
    </fill>
    <fill>
      <patternFill patternType="solid">
        <fgColor rgb="FFF2F2F2"/>
        <bgColor rgb="FFFFFFFF"/>
      </patternFill>
    </fill>
    <fill>
      <patternFill patternType="solid">
        <fgColor rgb="FFC6E0B4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7" borderId="0" xfId="0" applyFont="1" applyFill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center" wrapText="1"/>
    </xf>
    <xf numFmtId="2" fontId="4" fillId="6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1" fontId="5" fillId="5" borderId="1" xfId="0" applyNumberFormat="1" applyFont="1" applyFill="1" applyBorder="1" applyAlignment="1">
      <alignment horizontal="righ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6" fillId="6" borderId="0" xfId="0" applyFont="1" applyFill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2" fontId="12" fillId="0" borderId="1" xfId="0" applyNumberFormat="1" applyFont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right" vertical="center"/>
    </xf>
    <xf numFmtId="2" fontId="4" fillId="7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164" fontId="6" fillId="8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13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4CC"/>
      <rgbColor rgb="FFDEE6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7"/>
  <sheetViews>
    <sheetView showGridLines="0" tabSelected="1" zoomScale="110" zoomScaleNormal="110" workbookViewId="0">
      <selection activeCell="D12" sqref="D12:E12"/>
    </sheetView>
  </sheetViews>
  <sheetFormatPr baseColWidth="10" defaultColWidth="8.6640625" defaultRowHeight="15" x14ac:dyDescent="0.2"/>
  <cols>
    <col min="1" max="1" width="3" customWidth="1"/>
    <col min="2" max="2" width="34" customWidth="1"/>
    <col min="3" max="3" width="30" customWidth="1"/>
    <col min="4" max="4" width="15" customWidth="1"/>
    <col min="5" max="5" width="20" customWidth="1"/>
    <col min="6" max="6" width="3" customWidth="1"/>
  </cols>
  <sheetData>
    <row r="1" spans="2:5" ht="27.75" customHeight="1" x14ac:dyDescent="0.2">
      <c r="B1" s="14" t="s">
        <v>0</v>
      </c>
      <c r="C1" s="14"/>
      <c r="D1" s="14"/>
      <c r="E1" s="14"/>
    </row>
    <row r="2" spans="2:5" x14ac:dyDescent="0.2">
      <c r="B2" s="13" t="s">
        <v>1</v>
      </c>
      <c r="C2" s="13"/>
      <c r="D2" s="13"/>
      <c r="E2" s="13"/>
    </row>
    <row r="4" spans="2:5" ht="21.75" customHeight="1" x14ac:dyDescent="0.2">
      <c r="B4" s="12" t="s">
        <v>2</v>
      </c>
      <c r="C4" s="12"/>
      <c r="D4" s="12"/>
      <c r="E4" s="12"/>
    </row>
    <row r="5" spans="2:5" x14ac:dyDescent="0.2">
      <c r="B5" s="11" t="s">
        <v>3</v>
      </c>
      <c r="C5" s="11"/>
      <c r="D5" s="36" t="s">
        <v>109</v>
      </c>
      <c r="E5" s="10"/>
    </row>
    <row r="6" spans="2:5" x14ac:dyDescent="0.2">
      <c r="B6" s="11" t="s">
        <v>4</v>
      </c>
      <c r="C6" s="11"/>
      <c r="D6" s="9">
        <v>7500000</v>
      </c>
      <c r="E6" s="9"/>
    </row>
    <row r="7" spans="2:5" x14ac:dyDescent="0.2">
      <c r="B7" s="11" t="s">
        <v>5</v>
      </c>
      <c r="C7" s="11"/>
      <c r="D7" s="9">
        <v>0</v>
      </c>
      <c r="E7" s="9"/>
    </row>
    <row r="8" spans="2:5" x14ac:dyDescent="0.2">
      <c r="B8" s="8" t="s">
        <v>6</v>
      </c>
      <c r="C8" s="8"/>
      <c r="D8" s="7">
        <f>D6+D7</f>
        <v>7500000</v>
      </c>
      <c r="E8" s="7"/>
    </row>
    <row r="9" spans="2:5" x14ac:dyDescent="0.2">
      <c r="B9" s="11" t="s">
        <v>7</v>
      </c>
      <c r="C9" s="11"/>
      <c r="D9" s="6">
        <v>2</v>
      </c>
      <c r="E9" s="6"/>
    </row>
    <row r="10" spans="2:5" x14ac:dyDescent="0.2">
      <c r="B10" s="11" t="s">
        <v>8</v>
      </c>
      <c r="C10" s="11"/>
      <c r="D10" s="6">
        <v>1</v>
      </c>
      <c r="E10" s="6"/>
    </row>
    <row r="11" spans="2:5" x14ac:dyDescent="0.2">
      <c r="B11" s="5" t="s">
        <v>9</v>
      </c>
      <c r="C11" s="5"/>
      <c r="D11" s="4">
        <f>D9+D10/12</f>
        <v>2.0833333333333335</v>
      </c>
      <c r="E11" s="4"/>
    </row>
    <row r="12" spans="2:5" ht="27.75" customHeight="1" x14ac:dyDescent="0.2">
      <c r="B12" s="11" t="s">
        <v>10</v>
      </c>
      <c r="C12" s="11"/>
      <c r="D12" s="3" t="s">
        <v>70</v>
      </c>
      <c r="E12" s="3"/>
    </row>
    <row r="14" spans="2:5" ht="21.75" customHeight="1" x14ac:dyDescent="0.2">
      <c r="B14" s="12" t="s">
        <v>12</v>
      </c>
      <c r="C14" s="12"/>
      <c r="D14" s="12"/>
      <c r="E14" s="12"/>
    </row>
    <row r="15" spans="2:5" x14ac:dyDescent="0.2">
      <c r="B15" s="11" t="s">
        <v>13</v>
      </c>
      <c r="C15" s="11"/>
      <c r="D15" s="6">
        <v>7</v>
      </c>
      <c r="E15" s="6"/>
    </row>
    <row r="16" spans="2:5" x14ac:dyDescent="0.2">
      <c r="B16" s="11" t="s">
        <v>14</v>
      </c>
      <c r="C16" s="11"/>
      <c r="D16" s="6">
        <v>25</v>
      </c>
      <c r="E16" s="6"/>
    </row>
    <row r="17" spans="2:5" x14ac:dyDescent="0.2">
      <c r="B17" s="5" t="s">
        <v>15</v>
      </c>
      <c r="C17" s="5"/>
      <c r="D17" s="2">
        <f>IF(D16=0,0,D15*(D8/D16))</f>
        <v>2100000</v>
      </c>
      <c r="E17" s="2"/>
    </row>
    <row r="18" spans="2:5" x14ac:dyDescent="0.2">
      <c r="B18" s="11" t="s">
        <v>16</v>
      </c>
      <c r="C18" s="11"/>
      <c r="D18" s="9">
        <v>0</v>
      </c>
      <c r="E18" s="9"/>
    </row>
    <row r="19" spans="2:5" x14ac:dyDescent="0.2">
      <c r="B19" s="11" t="s">
        <v>17</v>
      </c>
      <c r="C19" s="11"/>
      <c r="D19" s="9">
        <v>0</v>
      </c>
      <c r="E19" s="9"/>
    </row>
    <row r="20" spans="2:5" x14ac:dyDescent="0.2">
      <c r="B20" s="11" t="s">
        <v>18</v>
      </c>
      <c r="C20" s="11"/>
      <c r="D20" s="9">
        <v>0</v>
      </c>
      <c r="E20" s="9"/>
    </row>
    <row r="22" spans="2:5" ht="21.75" customHeight="1" x14ac:dyDescent="0.2">
      <c r="B22" s="12" t="s">
        <v>19</v>
      </c>
      <c r="C22" s="12"/>
      <c r="D22" s="12"/>
      <c r="E22" s="12"/>
    </row>
    <row r="23" spans="2:5" x14ac:dyDescent="0.2">
      <c r="B23" s="1" t="s">
        <v>20</v>
      </c>
      <c r="C23" s="1"/>
      <c r="D23" s="28">
        <f>IFERROR(VLOOKUP(D11,'Tabel Acuan'!$A$3:$B$11,2,TRUE()),0)</f>
        <v>3</v>
      </c>
      <c r="E23" s="28"/>
    </row>
    <row r="24" spans="2:5" x14ac:dyDescent="0.2">
      <c r="B24" s="1" t="s">
        <v>21</v>
      </c>
      <c r="C24" s="1"/>
      <c r="D24" s="28">
        <f>IFERROR(VLOOKUP(D11,'Tabel Acuan'!$D$3:$E$11,2,TRUE()),0)</f>
        <v>0</v>
      </c>
      <c r="E24" s="28"/>
    </row>
    <row r="25" spans="2:5" x14ac:dyDescent="0.2">
      <c r="B25" s="1" t="s">
        <v>22</v>
      </c>
      <c r="C25" s="1"/>
      <c r="D25" s="29">
        <f>IFERROR(VLOOKUP(D12,'Tabel Acuan'!$B$16:$F$39,2,FALSE()),0)</f>
        <v>0.5</v>
      </c>
      <c r="E25" s="29"/>
    </row>
    <row r="26" spans="2:5" x14ac:dyDescent="0.2">
      <c r="B26" s="1" t="s">
        <v>23</v>
      </c>
      <c r="C26" s="1"/>
      <c r="D26" s="29">
        <f>IFERROR(VLOOKUP(D12,'Tabel Acuan'!$B$16:$F$39,3,FALSE()),0)</f>
        <v>1</v>
      </c>
      <c r="E26" s="29"/>
    </row>
    <row r="27" spans="2:5" x14ac:dyDescent="0.2">
      <c r="B27" s="1" t="s">
        <v>24</v>
      </c>
      <c r="C27" s="1"/>
      <c r="D27" s="30" t="str">
        <f>IFERROR(VLOOKUP(D12,'Tabel Acuan'!$B$16:$F$39,4,FALSE()),"-")</f>
        <v>Tidak</v>
      </c>
      <c r="E27" s="30"/>
    </row>
    <row r="29" spans="2:5" ht="21.75" customHeight="1" x14ac:dyDescent="0.2">
      <c r="B29" s="12" t="s">
        <v>25</v>
      </c>
      <c r="C29" s="12"/>
      <c r="D29" s="12"/>
      <c r="E29" s="12"/>
    </row>
    <row r="30" spans="2:5" x14ac:dyDescent="0.2">
      <c r="B30" s="15" t="s">
        <v>26</v>
      </c>
      <c r="C30" s="15" t="s">
        <v>27</v>
      </c>
      <c r="D30" s="31" t="s">
        <v>28</v>
      </c>
      <c r="E30" s="31"/>
    </row>
    <row r="31" spans="2:5" x14ac:dyDescent="0.2">
      <c r="B31" s="16" t="s">
        <v>29</v>
      </c>
      <c r="C31" s="17" t="str">
        <f>"Upah x "&amp;D23&amp;" bln x "&amp;TEXT(D25,"0.##")&amp;" pengali"</f>
        <v>Upah x 3 bln x 01 pengali</v>
      </c>
      <c r="D31" s="32">
        <f>D8*D23*D25</f>
        <v>11250000</v>
      </c>
      <c r="E31" s="32"/>
    </row>
    <row r="32" spans="2:5" x14ac:dyDescent="0.2">
      <c r="B32" s="16" t="s">
        <v>30</v>
      </c>
      <c r="C32" s="17" t="str">
        <f>"Upah x "&amp;D24&amp;" bln x "&amp;TEXT(D26,"0.##")&amp;" pengali"</f>
        <v>Upah x 0 bln x 01 pengali</v>
      </c>
      <c r="D32" s="32">
        <f>D8*D24*D26</f>
        <v>0</v>
      </c>
      <c r="E32" s="32"/>
    </row>
    <row r="33" spans="2:5" x14ac:dyDescent="0.2">
      <c r="B33" s="16" t="s">
        <v>31</v>
      </c>
      <c r="C33" s="17" t="str">
        <f>D15&amp;" hari x upah harian"</f>
        <v>7 hari x upah harian</v>
      </c>
      <c r="D33" s="32">
        <f>D17</f>
        <v>2100000</v>
      </c>
      <c r="E33" s="32"/>
    </row>
    <row r="34" spans="2:5" x14ac:dyDescent="0.2">
      <c r="B34" s="16" t="s">
        <v>32</v>
      </c>
      <c r="C34" s="17" t="s">
        <v>33</v>
      </c>
      <c r="D34" s="32">
        <f>D18</f>
        <v>0</v>
      </c>
      <c r="E34" s="32"/>
    </row>
    <row r="35" spans="2:5" x14ac:dyDescent="0.2">
      <c r="B35" s="16" t="s">
        <v>34</v>
      </c>
      <c r="C35" s="17" t="s">
        <v>33</v>
      </c>
      <c r="D35" s="32">
        <f>D19</f>
        <v>0</v>
      </c>
      <c r="E35" s="32"/>
    </row>
    <row r="36" spans="2:5" x14ac:dyDescent="0.2">
      <c r="B36" s="16" t="s">
        <v>35</v>
      </c>
      <c r="C36" s="17" t="str">
        <f>IF(D27="Ya","Berlaku (input manual)","Tidak berlaku")</f>
        <v>Tidak berlaku</v>
      </c>
      <c r="D36" s="32">
        <f>IF(D27="Ya",D20,0)</f>
        <v>0</v>
      </c>
      <c r="E36" s="32"/>
    </row>
    <row r="37" spans="2:5" ht="18" customHeight="1" x14ac:dyDescent="0.2">
      <c r="B37" s="18" t="s">
        <v>36</v>
      </c>
      <c r="C37" s="19" t="s">
        <v>37</v>
      </c>
      <c r="D37" s="7">
        <f>SUM(D31:D36)</f>
        <v>13350000</v>
      </c>
      <c r="E37" s="7"/>
    </row>
    <row r="39" spans="2:5" x14ac:dyDescent="0.2">
      <c r="B39" s="16" t="s">
        <v>38</v>
      </c>
      <c r="C39" s="17" t="s">
        <v>39</v>
      </c>
      <c r="D39" s="32">
        <f>MAX(0,MIN(D37,100000000)-50000000)*0.05+MAX(0,MIN(D37,500000000)-100000000)*0.15+MAX(0,D37-500000000)*0.25</f>
        <v>0</v>
      </c>
      <c r="E39" s="32"/>
    </row>
    <row r="40" spans="2:5" ht="18" customHeight="1" x14ac:dyDescent="0.2">
      <c r="B40" s="20" t="s">
        <v>40</v>
      </c>
      <c r="C40" s="21" t="s">
        <v>41</v>
      </c>
      <c r="D40" s="33">
        <f>D37-D39</f>
        <v>13350000</v>
      </c>
      <c r="E40" s="33"/>
    </row>
    <row r="42" spans="2:5" ht="24" customHeight="1" x14ac:dyDescent="0.2">
      <c r="B42" s="34" t="s">
        <v>42</v>
      </c>
      <c r="C42" s="34"/>
      <c r="D42" s="34"/>
      <c r="E42" s="34"/>
    </row>
    <row r="43" spans="2:5" ht="24" customHeight="1" x14ac:dyDescent="0.2">
      <c r="B43" s="34" t="s">
        <v>43</v>
      </c>
      <c r="C43" s="34"/>
      <c r="D43" s="34"/>
      <c r="E43" s="34"/>
    </row>
    <row r="44" spans="2:5" ht="24" customHeight="1" x14ac:dyDescent="0.2">
      <c r="B44" s="34" t="s">
        <v>44</v>
      </c>
      <c r="C44" s="34"/>
      <c r="D44" s="34"/>
      <c r="E44" s="34"/>
    </row>
    <row r="45" spans="2:5" ht="24" customHeight="1" x14ac:dyDescent="0.2">
      <c r="B45" s="34" t="s">
        <v>45</v>
      </c>
      <c r="C45" s="34"/>
      <c r="D45" s="34"/>
      <c r="E45" s="34"/>
    </row>
    <row r="46" spans="2:5" ht="24" customHeight="1" x14ac:dyDescent="0.2">
      <c r="B46" s="34" t="s">
        <v>46</v>
      </c>
      <c r="C46" s="34"/>
      <c r="D46" s="34"/>
      <c r="E46" s="34"/>
    </row>
    <row r="47" spans="2:5" ht="24" customHeight="1" x14ac:dyDescent="0.2">
      <c r="B47" s="34" t="s">
        <v>47</v>
      </c>
      <c r="C47" s="34"/>
      <c r="D47" s="34"/>
      <c r="E47" s="34"/>
    </row>
  </sheetData>
  <mergeCells count="60">
    <mergeCell ref="B47:E47"/>
    <mergeCell ref="B42:E42"/>
    <mergeCell ref="B43:E43"/>
    <mergeCell ref="B44:E44"/>
    <mergeCell ref="B45:E45"/>
    <mergeCell ref="B46:E46"/>
    <mergeCell ref="D35:E35"/>
    <mergeCell ref="D36:E36"/>
    <mergeCell ref="D37:E37"/>
    <mergeCell ref="D39:E39"/>
    <mergeCell ref="D40:E40"/>
    <mergeCell ref="D30:E30"/>
    <mergeCell ref="D31:E31"/>
    <mergeCell ref="D32:E32"/>
    <mergeCell ref="D33:E33"/>
    <mergeCell ref="D34:E34"/>
    <mergeCell ref="B26:C26"/>
    <mergeCell ref="D26:E26"/>
    <mergeCell ref="B27:C27"/>
    <mergeCell ref="D27:E27"/>
    <mergeCell ref="B29:E29"/>
    <mergeCell ref="B23:C23"/>
    <mergeCell ref="D23:E23"/>
    <mergeCell ref="B24:C24"/>
    <mergeCell ref="D24:E24"/>
    <mergeCell ref="B25:C25"/>
    <mergeCell ref="D25:E25"/>
    <mergeCell ref="B19:C19"/>
    <mergeCell ref="D19:E19"/>
    <mergeCell ref="B20:C20"/>
    <mergeCell ref="D20:E20"/>
    <mergeCell ref="B22:E22"/>
    <mergeCell ref="B16:C16"/>
    <mergeCell ref="D16:E16"/>
    <mergeCell ref="B17:C17"/>
    <mergeCell ref="D17:E17"/>
    <mergeCell ref="B18:C18"/>
    <mergeCell ref="D18:E18"/>
    <mergeCell ref="B12:C12"/>
    <mergeCell ref="D12:E12"/>
    <mergeCell ref="B14:E14"/>
    <mergeCell ref="B15:C15"/>
    <mergeCell ref="D15:E15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B1:E1"/>
    <mergeCell ref="B2:E2"/>
    <mergeCell ref="B4:E4"/>
    <mergeCell ref="B5:C5"/>
    <mergeCell ref="D5:E5"/>
  </mergeCells>
  <dataValidations count="1">
    <dataValidation type="whole" allowBlank="1" errorTitle="Bulan tidak valid" error="Masukkan angka 0 sampai 11." sqref="D10" xr:uid="{00000000-0002-0000-0000-000001000000}">
      <formula1>0</formula1>
      <formula2>11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Title="Input tidak valid" error="Pilih alasan PHK dari daftar yang tersedia." promptTitle="Alasan PHK" prompt="Klik panah dan pilih alasan PHK." xr:uid="{00000000-0002-0000-0000-000000000000}">
          <x14:formula1>
            <xm:f>'Tabel Acuan'!$B$16:$B$39</xm:f>
          </x14:formula1>
          <x14:formula2>
            <xm:f>0</xm:f>
          </x14:formula2>
          <xm:sqref>D12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showGridLines="0" topLeftCell="A21" zoomScaleNormal="100" workbookViewId="0">
      <selection sqref="A1:B1"/>
    </sheetView>
  </sheetViews>
  <sheetFormatPr baseColWidth="10" defaultColWidth="8.6640625" defaultRowHeight="15" x14ac:dyDescent="0.2"/>
  <cols>
    <col min="1" max="1" width="5" customWidth="1"/>
    <col min="2" max="2" width="52" customWidth="1"/>
    <col min="3" max="3" width="12" customWidth="1"/>
    <col min="4" max="4" width="13" customWidth="1"/>
    <col min="5" max="5" width="11" customWidth="1"/>
    <col min="6" max="6" width="40" customWidth="1"/>
  </cols>
  <sheetData>
    <row r="1" spans="1:6" x14ac:dyDescent="0.2">
      <c r="A1" s="35" t="s">
        <v>48</v>
      </c>
      <c r="B1" s="35"/>
      <c r="D1" s="35" t="s">
        <v>49</v>
      </c>
      <c r="E1" s="35"/>
    </row>
    <row r="2" spans="1:6" ht="78" x14ac:dyDescent="0.2">
      <c r="A2" s="22" t="s">
        <v>50</v>
      </c>
      <c r="B2" s="22" t="s">
        <v>51</v>
      </c>
      <c r="D2" s="22" t="s">
        <v>50</v>
      </c>
      <c r="E2" s="22" t="s">
        <v>51</v>
      </c>
    </row>
    <row r="3" spans="1:6" x14ac:dyDescent="0.2">
      <c r="A3" s="23">
        <v>0</v>
      </c>
      <c r="B3" s="23">
        <v>1</v>
      </c>
      <c r="D3" s="23">
        <v>0</v>
      </c>
      <c r="E3" s="23">
        <v>0</v>
      </c>
    </row>
    <row r="4" spans="1:6" x14ac:dyDescent="0.2">
      <c r="A4" s="23">
        <v>1</v>
      </c>
      <c r="B4" s="23">
        <v>2</v>
      </c>
      <c r="D4" s="23">
        <v>3</v>
      </c>
      <c r="E4" s="23">
        <v>2</v>
      </c>
    </row>
    <row r="5" spans="1:6" x14ac:dyDescent="0.2">
      <c r="A5" s="23">
        <v>2</v>
      </c>
      <c r="B5" s="23">
        <v>3</v>
      </c>
      <c r="D5" s="23">
        <v>6</v>
      </c>
      <c r="E5" s="23">
        <v>3</v>
      </c>
    </row>
    <row r="6" spans="1:6" x14ac:dyDescent="0.2">
      <c r="A6" s="23">
        <v>3</v>
      </c>
      <c r="B6" s="23">
        <v>4</v>
      </c>
      <c r="D6" s="23">
        <v>9</v>
      </c>
      <c r="E6" s="23">
        <v>4</v>
      </c>
    </row>
    <row r="7" spans="1:6" x14ac:dyDescent="0.2">
      <c r="A7" s="23">
        <v>4</v>
      </c>
      <c r="B7" s="23">
        <v>5</v>
      </c>
      <c r="D7" s="23">
        <v>12</v>
      </c>
      <c r="E7" s="23">
        <v>5</v>
      </c>
    </row>
    <row r="8" spans="1:6" x14ac:dyDescent="0.2">
      <c r="A8" s="23">
        <v>5</v>
      </c>
      <c r="B8" s="23">
        <v>6</v>
      </c>
      <c r="D8" s="23">
        <v>15</v>
      </c>
      <c r="E8" s="23">
        <v>6</v>
      </c>
    </row>
    <row r="9" spans="1:6" x14ac:dyDescent="0.2">
      <c r="A9" s="23">
        <v>6</v>
      </c>
      <c r="B9" s="23">
        <v>7</v>
      </c>
      <c r="D9" s="23">
        <v>18</v>
      </c>
      <c r="E9" s="23">
        <v>7</v>
      </c>
    </row>
    <row r="10" spans="1:6" x14ac:dyDescent="0.2">
      <c r="A10" s="23">
        <v>7</v>
      </c>
      <c r="B10" s="23">
        <v>8</v>
      </c>
      <c r="D10" s="23">
        <v>21</v>
      </c>
      <c r="E10" s="23">
        <v>8</v>
      </c>
    </row>
    <row r="11" spans="1:6" x14ac:dyDescent="0.2">
      <c r="A11" s="23">
        <v>8</v>
      </c>
      <c r="B11" s="23">
        <v>9</v>
      </c>
      <c r="D11" s="23">
        <v>24</v>
      </c>
      <c r="E11" s="23">
        <v>10</v>
      </c>
    </row>
    <row r="14" spans="1:6" x14ac:dyDescent="0.2">
      <c r="A14" s="35" t="s">
        <v>52</v>
      </c>
      <c r="B14" s="35"/>
      <c r="C14" s="35"/>
      <c r="D14" s="35"/>
      <c r="E14" s="35"/>
      <c r="F14" s="35"/>
    </row>
    <row r="15" spans="1:6" x14ac:dyDescent="0.2">
      <c r="A15" s="24" t="s">
        <v>53</v>
      </c>
      <c r="B15" s="24" t="s">
        <v>54</v>
      </c>
      <c r="C15" s="24" t="s">
        <v>55</v>
      </c>
      <c r="D15" s="24" t="s">
        <v>56</v>
      </c>
      <c r="E15" s="24" t="s">
        <v>35</v>
      </c>
      <c r="F15" s="24" t="s">
        <v>57</v>
      </c>
    </row>
    <row r="16" spans="1:6" x14ac:dyDescent="0.2">
      <c r="A16" s="25">
        <v>1</v>
      </c>
      <c r="B16" s="26" t="s">
        <v>11</v>
      </c>
      <c r="C16" s="27">
        <v>1</v>
      </c>
      <c r="D16" s="27">
        <v>1</v>
      </c>
      <c r="E16" s="25" t="s">
        <v>58</v>
      </c>
      <c r="F16" s="26" t="s">
        <v>59</v>
      </c>
    </row>
    <row r="17" spans="1:6" x14ac:dyDescent="0.2">
      <c r="A17" s="25">
        <v>2</v>
      </c>
      <c r="B17" s="26" t="s">
        <v>60</v>
      </c>
      <c r="C17" s="27">
        <v>0.5</v>
      </c>
      <c r="D17" s="27">
        <v>1</v>
      </c>
      <c r="E17" s="25" t="s">
        <v>58</v>
      </c>
      <c r="F17" s="26" t="s">
        <v>61</v>
      </c>
    </row>
    <row r="18" spans="1:6" x14ac:dyDescent="0.2">
      <c r="A18" s="25">
        <v>3</v>
      </c>
      <c r="B18" s="26" t="s">
        <v>62</v>
      </c>
      <c r="C18" s="27">
        <v>0.5</v>
      </c>
      <c r="D18" s="27">
        <v>1</v>
      </c>
      <c r="E18" s="25" t="s">
        <v>58</v>
      </c>
      <c r="F18" s="26" t="s">
        <v>63</v>
      </c>
    </row>
    <row r="19" spans="1:6" x14ac:dyDescent="0.2">
      <c r="A19" s="25">
        <v>4</v>
      </c>
      <c r="B19" s="26" t="s">
        <v>64</v>
      </c>
      <c r="C19" s="27">
        <v>1</v>
      </c>
      <c r="D19" s="27">
        <v>1</v>
      </c>
      <c r="E19" s="25" t="s">
        <v>58</v>
      </c>
      <c r="F19" s="26" t="s">
        <v>65</v>
      </c>
    </row>
    <row r="20" spans="1:6" x14ac:dyDescent="0.2">
      <c r="A20" s="25">
        <v>5</v>
      </c>
      <c r="B20" s="26" t="s">
        <v>66</v>
      </c>
      <c r="C20" s="27">
        <v>0.5</v>
      </c>
      <c r="D20" s="27">
        <v>1</v>
      </c>
      <c r="E20" s="25" t="s">
        <v>58</v>
      </c>
      <c r="F20" s="26" t="s">
        <v>67</v>
      </c>
    </row>
    <row r="21" spans="1:6" x14ac:dyDescent="0.2">
      <c r="A21" s="25">
        <v>6</v>
      </c>
      <c r="B21" s="26" t="s">
        <v>68</v>
      </c>
      <c r="C21" s="27">
        <v>1</v>
      </c>
      <c r="D21" s="27">
        <v>1</v>
      </c>
      <c r="E21" s="25" t="s">
        <v>58</v>
      </c>
      <c r="F21" s="26" t="s">
        <v>69</v>
      </c>
    </row>
    <row r="22" spans="1:6" x14ac:dyDescent="0.2">
      <c r="A22" s="25">
        <v>7</v>
      </c>
      <c r="B22" s="26" t="s">
        <v>70</v>
      </c>
      <c r="C22" s="27">
        <v>0.5</v>
      </c>
      <c r="D22" s="27">
        <v>1</v>
      </c>
      <c r="E22" s="25" t="s">
        <v>58</v>
      </c>
      <c r="F22" s="26" t="s">
        <v>71</v>
      </c>
    </row>
    <row r="23" spans="1:6" x14ac:dyDescent="0.2">
      <c r="A23" s="25">
        <v>8</v>
      </c>
      <c r="B23" s="26" t="s">
        <v>72</v>
      </c>
      <c r="C23" s="27">
        <v>0.75</v>
      </c>
      <c r="D23" s="27">
        <v>1</v>
      </c>
      <c r="E23" s="25" t="s">
        <v>58</v>
      </c>
      <c r="F23" s="26" t="s">
        <v>73</v>
      </c>
    </row>
    <row r="24" spans="1:6" x14ac:dyDescent="0.2">
      <c r="A24" s="25">
        <v>9</v>
      </c>
      <c r="B24" s="26" t="s">
        <v>74</v>
      </c>
      <c r="C24" s="27">
        <v>0.5</v>
      </c>
      <c r="D24" s="27">
        <v>1</v>
      </c>
      <c r="E24" s="25" t="s">
        <v>58</v>
      </c>
      <c r="F24" s="26" t="s">
        <v>75</v>
      </c>
    </row>
    <row r="25" spans="1:6" x14ac:dyDescent="0.2">
      <c r="A25" s="25">
        <v>10</v>
      </c>
      <c r="B25" s="26" t="s">
        <v>76</v>
      </c>
      <c r="C25" s="27">
        <v>1</v>
      </c>
      <c r="D25" s="27">
        <v>1</v>
      </c>
      <c r="E25" s="25" t="s">
        <v>58</v>
      </c>
      <c r="F25" s="26" t="s">
        <v>75</v>
      </c>
    </row>
    <row r="26" spans="1:6" x14ac:dyDescent="0.2">
      <c r="A26" s="25">
        <v>11</v>
      </c>
      <c r="B26" s="26" t="s">
        <v>77</v>
      </c>
      <c r="C26" s="27">
        <v>0.5</v>
      </c>
      <c r="D26" s="27">
        <v>1</v>
      </c>
      <c r="E26" s="25" t="s">
        <v>58</v>
      </c>
      <c r="F26" s="26" t="s">
        <v>78</v>
      </c>
    </row>
    <row r="27" spans="1:6" x14ac:dyDescent="0.2">
      <c r="A27" s="25">
        <v>12</v>
      </c>
      <c r="B27" s="26" t="s">
        <v>79</v>
      </c>
      <c r="C27" s="27">
        <v>1</v>
      </c>
      <c r="D27" s="27">
        <v>1</v>
      </c>
      <c r="E27" s="25" t="s">
        <v>58</v>
      </c>
      <c r="F27" s="26" t="s">
        <v>80</v>
      </c>
    </row>
    <row r="28" spans="1:6" x14ac:dyDescent="0.2">
      <c r="A28" s="25">
        <v>13</v>
      </c>
      <c r="B28" s="26" t="s">
        <v>81</v>
      </c>
      <c r="C28" s="27">
        <v>0</v>
      </c>
      <c r="D28" s="27">
        <v>0</v>
      </c>
      <c r="E28" s="25" t="s">
        <v>82</v>
      </c>
      <c r="F28" s="26" t="s">
        <v>83</v>
      </c>
    </row>
    <row r="29" spans="1:6" x14ac:dyDescent="0.2">
      <c r="A29" s="25">
        <v>14</v>
      </c>
      <c r="B29" s="26" t="s">
        <v>84</v>
      </c>
      <c r="C29" s="27">
        <v>0</v>
      </c>
      <c r="D29" s="27">
        <v>0</v>
      </c>
      <c r="E29" s="25" t="s">
        <v>82</v>
      </c>
      <c r="F29" s="26" t="s">
        <v>85</v>
      </c>
    </row>
    <row r="30" spans="1:6" x14ac:dyDescent="0.2">
      <c r="A30" s="25">
        <v>15</v>
      </c>
      <c r="B30" s="26" t="s">
        <v>86</v>
      </c>
      <c r="C30" s="27">
        <v>0</v>
      </c>
      <c r="D30" s="27">
        <v>0</v>
      </c>
      <c r="E30" s="25" t="s">
        <v>82</v>
      </c>
      <c r="F30" s="26" t="s">
        <v>87</v>
      </c>
    </row>
    <row r="31" spans="1:6" x14ac:dyDescent="0.2">
      <c r="A31" s="25">
        <v>16</v>
      </c>
      <c r="B31" s="26" t="s">
        <v>88</v>
      </c>
      <c r="C31" s="27">
        <v>0.5</v>
      </c>
      <c r="D31" s="27">
        <v>1</v>
      </c>
      <c r="E31" s="25" t="s">
        <v>58</v>
      </c>
      <c r="F31" s="26" t="s">
        <v>89</v>
      </c>
    </row>
    <row r="32" spans="1:6" x14ac:dyDescent="0.2">
      <c r="A32" s="25">
        <v>17</v>
      </c>
      <c r="B32" s="26" t="s">
        <v>90</v>
      </c>
      <c r="C32" s="27">
        <v>0</v>
      </c>
      <c r="D32" s="27">
        <v>0</v>
      </c>
      <c r="E32" s="25" t="s">
        <v>82</v>
      </c>
      <c r="F32" s="26" t="s">
        <v>91</v>
      </c>
    </row>
    <row r="33" spans="1:6" x14ac:dyDescent="0.2">
      <c r="A33" s="25">
        <v>18</v>
      </c>
      <c r="B33" s="26" t="s">
        <v>92</v>
      </c>
      <c r="C33" s="27">
        <v>0</v>
      </c>
      <c r="D33" s="27">
        <v>0</v>
      </c>
      <c r="E33" s="25" t="s">
        <v>82</v>
      </c>
      <c r="F33" s="26" t="s">
        <v>93</v>
      </c>
    </row>
    <row r="34" spans="1:6" x14ac:dyDescent="0.2">
      <c r="A34" s="25">
        <v>19</v>
      </c>
      <c r="B34" s="26" t="s">
        <v>94</v>
      </c>
      <c r="C34" s="27">
        <v>0</v>
      </c>
      <c r="D34" s="27">
        <v>1</v>
      </c>
      <c r="E34" s="25" t="s">
        <v>58</v>
      </c>
      <c r="F34" s="26" t="s">
        <v>95</v>
      </c>
    </row>
    <row r="35" spans="1:6" x14ac:dyDescent="0.2">
      <c r="A35" s="25">
        <v>20</v>
      </c>
      <c r="B35" s="26" t="s">
        <v>96</v>
      </c>
      <c r="C35" s="27">
        <v>0</v>
      </c>
      <c r="D35" s="27">
        <v>0</v>
      </c>
      <c r="E35" s="25" t="s">
        <v>82</v>
      </c>
      <c r="F35" s="26" t="s">
        <v>93</v>
      </c>
    </row>
    <row r="36" spans="1:6" x14ac:dyDescent="0.2">
      <c r="A36" s="25">
        <v>21</v>
      </c>
      <c r="B36" s="26" t="s">
        <v>97</v>
      </c>
      <c r="C36" s="27">
        <v>0</v>
      </c>
      <c r="D36" s="27">
        <v>1</v>
      </c>
      <c r="E36" s="25" t="s">
        <v>58</v>
      </c>
      <c r="F36" s="26" t="s">
        <v>95</v>
      </c>
    </row>
    <row r="37" spans="1:6" x14ac:dyDescent="0.2">
      <c r="A37" s="25">
        <v>22</v>
      </c>
      <c r="B37" s="26" t="s">
        <v>98</v>
      </c>
      <c r="C37" s="27">
        <v>2</v>
      </c>
      <c r="D37" s="27">
        <v>1</v>
      </c>
      <c r="E37" s="25" t="s">
        <v>58</v>
      </c>
      <c r="F37" s="26" t="s">
        <v>99</v>
      </c>
    </row>
    <row r="38" spans="1:6" x14ac:dyDescent="0.2">
      <c r="A38" s="25">
        <v>23</v>
      </c>
      <c r="B38" s="26" t="s">
        <v>100</v>
      </c>
      <c r="C38" s="27">
        <v>1.75</v>
      </c>
      <c r="D38" s="27">
        <v>1</v>
      </c>
      <c r="E38" s="25" t="s">
        <v>58</v>
      </c>
      <c r="F38" s="26" t="s">
        <v>101</v>
      </c>
    </row>
    <row r="39" spans="1:6" x14ac:dyDescent="0.2">
      <c r="A39" s="25">
        <v>24</v>
      </c>
      <c r="B39" s="26" t="s">
        <v>102</v>
      </c>
      <c r="C39" s="27">
        <v>2</v>
      </c>
      <c r="D39" s="27">
        <v>1</v>
      </c>
      <c r="E39" s="25" t="s">
        <v>58</v>
      </c>
      <c r="F39" s="26" t="s">
        <v>103</v>
      </c>
    </row>
    <row r="41" spans="1:6" ht="15" customHeight="1" x14ac:dyDescent="0.2">
      <c r="A41" s="34" t="s">
        <v>104</v>
      </c>
      <c r="B41" s="34"/>
      <c r="C41" s="34"/>
      <c r="D41" s="34"/>
      <c r="E41" s="34"/>
      <c r="F41" s="34"/>
    </row>
    <row r="42" spans="1:6" ht="15" customHeight="1" x14ac:dyDescent="0.2">
      <c r="A42" s="34" t="s">
        <v>105</v>
      </c>
      <c r="B42" s="34"/>
      <c r="C42" s="34"/>
      <c r="D42" s="34"/>
      <c r="E42" s="34"/>
      <c r="F42" s="34"/>
    </row>
    <row r="43" spans="1:6" ht="15" customHeight="1" x14ac:dyDescent="0.2">
      <c r="A43" s="34" t="s">
        <v>106</v>
      </c>
      <c r="B43" s="34"/>
      <c r="C43" s="34"/>
      <c r="D43" s="34"/>
      <c r="E43" s="34"/>
      <c r="F43" s="34"/>
    </row>
    <row r="44" spans="1:6" ht="15" customHeight="1" x14ac:dyDescent="0.2">
      <c r="A44" s="34" t="s">
        <v>107</v>
      </c>
      <c r="B44" s="34"/>
      <c r="C44" s="34"/>
      <c r="D44" s="34"/>
      <c r="E44" s="34"/>
      <c r="F44" s="34"/>
    </row>
    <row r="45" spans="1:6" ht="15" customHeight="1" x14ac:dyDescent="0.2">
      <c r="A45" s="34" t="s">
        <v>108</v>
      </c>
      <c r="B45" s="34"/>
      <c r="C45" s="34"/>
      <c r="D45" s="34"/>
      <c r="E45" s="34"/>
      <c r="F45" s="34"/>
    </row>
  </sheetData>
  <mergeCells count="8">
    <mergeCell ref="A43:F43"/>
    <mergeCell ref="A44:F44"/>
    <mergeCell ref="A45:F45"/>
    <mergeCell ref="A1:B1"/>
    <mergeCell ref="D1:E1"/>
    <mergeCell ref="A14:F14"/>
    <mergeCell ref="A41:F41"/>
    <mergeCell ref="A42:F4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Kalkulator</vt:lpstr>
      <vt:lpstr>Tabel Acuan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thiara</cp:lastModifiedBy>
  <cp:revision>0</cp:revision>
  <dcterms:created xsi:type="dcterms:W3CDTF">2026-06-05T11:52:01Z</dcterms:created>
  <dcterms:modified xsi:type="dcterms:W3CDTF">2026-06-05T11:57:25Z</dcterms:modified>
  <dc:language>en-US</dc:language>
</cp:coreProperties>
</file>